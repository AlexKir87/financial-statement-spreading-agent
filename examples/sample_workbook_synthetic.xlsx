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S" sheetId="2" r:id="rId2"/>
    <sheet name="BS" sheetId="3" r:id="rId3"/>
    <sheet name="CF" sheetId="4" r:id="rId4"/>
    <sheet name="Source_Trace" sheetId="5" r:id="rId5"/>
    <sheet name="Reconciliations" sheetId="6" r:id="rId6"/>
    <sheet name="Open_Issues" sheetId="7" r:id="rId7"/>
    <sheet name="Change_Log" sheetId="8" r:id="rId8"/>
    <sheet name="Mapping" sheetId="9" r:id="rId9"/>
  </sheets>
  <calcPr calcId="124519" fullCalcOnLoad="1"/>
</workbook>
</file>

<file path=xl/sharedStrings.xml><?xml version="1.0" encoding="utf-8"?>
<sst xmlns="http://schemas.openxmlformats.org/spreadsheetml/2006/main" count="992" uniqueCount="316">
  <si>
    <t>Line id</t>
  </si>
  <si>
    <t>Label</t>
  </si>
  <si>
    <t>FY2023</t>
  </si>
  <si>
    <t>FY2022</t>
  </si>
  <si>
    <t>is_revenue</t>
  </si>
  <si>
    <t>Revenue</t>
  </si>
  <si>
    <t>is_cost_of_sales</t>
  </si>
  <si>
    <t>Cost of sales</t>
  </si>
  <si>
    <t>is_gross_profit</t>
  </si>
  <si>
    <t>Gross profit</t>
  </si>
  <si>
    <t>is_operating_expenses</t>
  </si>
  <si>
    <t>Operating expenses</t>
  </si>
  <si>
    <t>is_operating_profit</t>
  </si>
  <si>
    <t>Operating profit</t>
  </si>
  <si>
    <t>is_interest_expense</t>
  </si>
  <si>
    <t>Interest expense</t>
  </si>
  <si>
    <t>is_profit_before_tax</t>
  </si>
  <si>
    <t>Profit before tax</t>
  </si>
  <si>
    <t>is_income_tax</t>
  </si>
  <si>
    <t>Income tax</t>
  </si>
  <si>
    <t>is_other_items</t>
  </si>
  <si>
    <t>Other income statement items</t>
  </si>
  <si>
    <t>is_net_income</t>
  </si>
  <si>
    <t>Net income</t>
  </si>
  <si>
    <t>is_eps_basic</t>
  </si>
  <si>
    <t>Earnings per share (basic)</t>
  </si>
  <si>
    <t>is_eps_diluted</t>
  </si>
  <si>
    <t>Earnings per share (diluted)</t>
  </si>
  <si>
    <t>is_shares_basic</t>
  </si>
  <si>
    <t>Weighted-average shares outstanding (basic)</t>
  </si>
  <si>
    <t>is_shares_diluted</t>
  </si>
  <si>
    <t>Weighted-average shares outstanding (diluted)</t>
  </si>
  <si>
    <t>is_dividends_per_share</t>
  </si>
  <si>
    <t>Dividends declared per share</t>
  </si>
  <si>
    <t>is_below_net_income</t>
  </si>
  <si>
    <t>Items printed below net income</t>
  </si>
  <si>
    <t>is_non_operating_items</t>
  </si>
  <si>
    <t>Non-operating income (expense) items</t>
  </si>
  <si>
    <t>is_operating_income_items</t>
  </si>
  <si>
    <t>Other operating income (expense) items</t>
  </si>
  <si>
    <t>bs_cash</t>
  </si>
  <si>
    <t>Cash and cash equivalents</t>
  </si>
  <si>
    <t>bs_receivables</t>
  </si>
  <si>
    <t>Trade and other receivables</t>
  </si>
  <si>
    <t>bs_inventory</t>
  </si>
  <si>
    <t>Inventory</t>
  </si>
  <si>
    <t>bs_other_current_assets</t>
  </si>
  <si>
    <t>Other current assets</t>
  </si>
  <si>
    <t>bs_total_current_assets</t>
  </si>
  <si>
    <t>Total current assets</t>
  </si>
  <si>
    <t>bs_ppe</t>
  </si>
  <si>
    <t>Property, plant and equipment</t>
  </si>
  <si>
    <t>bs_intangibles</t>
  </si>
  <si>
    <t>Intangible assets and goodwill</t>
  </si>
  <si>
    <t>bs_other_noncurrent_assets</t>
  </si>
  <si>
    <t>Other non-current assets</t>
  </si>
  <si>
    <t>bs_total_noncurrent_assets</t>
  </si>
  <si>
    <t>Total non-current assets</t>
  </si>
  <si>
    <t>bs_total_assets</t>
  </si>
  <si>
    <t>Total assets</t>
  </si>
  <si>
    <t>bs_payables</t>
  </si>
  <si>
    <t>Trade and other payables</t>
  </si>
  <si>
    <t>bs_borrowings</t>
  </si>
  <si>
    <t>Borrowings</t>
  </si>
  <si>
    <t>bs_other_liabilities</t>
  </si>
  <si>
    <t>Other liabilities</t>
  </si>
  <si>
    <t>bs_total_current_liabilities</t>
  </si>
  <si>
    <t>Total current liabilities</t>
  </si>
  <si>
    <t>bs_total_noncurrent_liabilities</t>
  </si>
  <si>
    <t>Total non-current liabilities</t>
  </si>
  <si>
    <t>bs_total_liabilities</t>
  </si>
  <si>
    <t>Total liabilities</t>
  </si>
  <si>
    <t>bs_share_capital</t>
  </si>
  <si>
    <t>Share capital</t>
  </si>
  <si>
    <t>bs_retained_earnings</t>
  </si>
  <si>
    <t>Retained earnings</t>
  </si>
  <si>
    <t>bs_re_other_movements</t>
  </si>
  <si>
    <t>Other movements in retained earnings</t>
  </si>
  <si>
    <t>bs_re_column_movements</t>
  </si>
  <si>
    <t>All movements in the retained earnings column of the equity statement</t>
  </si>
  <si>
    <t>bs_other_equity</t>
  </si>
  <si>
    <t>Other equity</t>
  </si>
  <si>
    <t>bs_total_equity</t>
  </si>
  <si>
    <t>Total equity</t>
  </si>
  <si>
    <t>bs_total_liabilities_and_equity</t>
  </si>
  <si>
    <t>Total liabilities and equity</t>
  </si>
  <si>
    <t>cf_net_income</t>
  </si>
  <si>
    <t>Net income (cash flow start)</t>
  </si>
  <si>
    <t>cf_starting_profit</t>
  </si>
  <si>
    <t>Profit before tax (cash flow start)</t>
  </si>
  <si>
    <t>cf_depreciation_amortisation</t>
  </si>
  <si>
    <t>Depreciation and amortisation</t>
  </si>
  <si>
    <t>cf_change_receivables</t>
  </si>
  <si>
    <t>Change in receivables</t>
  </si>
  <si>
    <t>cf_change_inventory</t>
  </si>
  <si>
    <t>Change in inventory</t>
  </si>
  <si>
    <t>cf_change_payables</t>
  </si>
  <si>
    <t>Change in payables</t>
  </si>
  <si>
    <t>cf_other_operating</t>
  </si>
  <si>
    <t>Other operating cash items</t>
  </si>
  <si>
    <t>cf_net_cash_operating</t>
  </si>
  <si>
    <t>Net cash from operating activities</t>
  </si>
  <si>
    <t>cf_capex</t>
  </si>
  <si>
    <t>Purchase of property plant and equipment</t>
  </si>
  <si>
    <t>cf_other_investing</t>
  </si>
  <si>
    <t>Other investing cash items</t>
  </si>
  <si>
    <t>cf_net_cash_investing</t>
  </si>
  <si>
    <t>Net cash from investing activities</t>
  </si>
  <si>
    <t>cf_debt_proceeds_repayments</t>
  </si>
  <si>
    <t>Proceeds from and repayment of borrowings</t>
  </si>
  <si>
    <t>cf_dividends_paid</t>
  </si>
  <si>
    <t>Dividends paid</t>
  </si>
  <si>
    <t>cf_other_financing</t>
  </si>
  <si>
    <t>Other financing cash items</t>
  </si>
  <si>
    <t>cf_net_cash_financing</t>
  </si>
  <si>
    <t>Net cash from financing activities</t>
  </si>
  <si>
    <t>cf_fx_effect</t>
  </si>
  <si>
    <t>Effect of exchange rates on cash</t>
  </si>
  <si>
    <t>cf_net_change_in_cash</t>
  </si>
  <si>
    <t>Net change in cash</t>
  </si>
  <si>
    <t>cf_cash_beginning</t>
  </si>
  <si>
    <t>Cash at beginning of period</t>
  </si>
  <si>
    <t>cf_cash_end</t>
  </si>
  <si>
    <t>Cash at end of period</t>
  </si>
  <si>
    <t>cf_supplemental_items</t>
  </si>
  <si>
    <t>Supplemental cash flow disclosures</t>
  </si>
  <si>
    <t>Period</t>
  </si>
  <si>
    <t>Document</t>
  </si>
  <si>
    <t>Page</t>
  </si>
  <si>
    <t>Original label</t>
  </si>
  <si>
    <t>Original value text</t>
  </si>
  <si>
    <t>Digitizer</t>
  </si>
  <si>
    <t>Digitizer version</t>
  </si>
  <si>
    <t>Mapping origin</t>
  </si>
  <si>
    <t>doc-f8be3c78bf6e</t>
  </si>
  <si>
    <t>5,000</t>
  </si>
  <si>
    <t>pdf-text-layer</t>
  </si>
  <si>
    <t>6.21.2</t>
  </si>
  <si>
    <t>rule</t>
  </si>
  <si>
    <t>(3,000)</t>
  </si>
  <si>
    <t>2,000</t>
  </si>
  <si>
    <t>(1,200)</t>
  </si>
  <si>
    <t>800</t>
  </si>
  <si>
    <t>(100)</t>
  </si>
  <si>
    <t>700</t>
  </si>
  <si>
    <t>(200)</t>
  </si>
  <si>
    <t>500</t>
  </si>
  <si>
    <t>900</t>
  </si>
  <si>
    <t>Trade receivables</t>
  </si>
  <si>
    <t>600</t>
  </si>
  <si>
    <t>1,500</t>
  </si>
  <si>
    <t>3,500</t>
  </si>
  <si>
    <t>Trade payables</t>
  </si>
  <si>
    <t>1,000</t>
  </si>
  <si>
    <t>1,700</t>
  </si>
  <si>
    <t>1,300</t>
  </si>
  <si>
    <t>1,800</t>
  </si>
  <si>
    <t>100</t>
  </si>
  <si>
    <t>Increase in receivables</t>
  </si>
  <si>
    <t>Increase in inventory</t>
  </si>
  <si>
    <t>Increase in payables</t>
  </si>
  <si>
    <t>Purchase of property, plant and equipment</t>
  </si>
  <si>
    <t>(300)</t>
  </si>
  <si>
    <t>300</t>
  </si>
  <si>
    <t>4,500</t>
  </si>
  <si>
    <t>(2,800)</t>
  </si>
  <si>
    <t>(1,100)</t>
  </si>
  <si>
    <t>(150)</t>
  </si>
  <si>
    <t>350</t>
  </si>
  <si>
    <t>400</t>
  </si>
  <si>
    <t>2,800</t>
  </si>
  <si>
    <t>Tolerance (units of scale)</t>
  </si>
  <si>
    <t>Check</t>
  </si>
  <si>
    <t>Expected</t>
  </si>
  <si>
    <t>Actual</t>
  </si>
  <si>
    <t>Difference</t>
  </si>
  <si>
    <t>Status</t>
  </si>
  <si>
    <t>Terms</t>
  </si>
  <si>
    <t>bs_balances</t>
  </si>
  <si>
    <t>bs_total_assets FY2023 = 3500; bs_total_liabilities FY2023 = 1700; bs_total_equity FY2023 = 1800</t>
  </si>
  <si>
    <t>bs_total_assets FY2022 = 2800; bs_total_liabilities FY2022 = 1500; bs_total_equity FY2022 = 1300</t>
  </si>
  <si>
    <t>cf_cash_reconciles</t>
  </si>
  <si>
    <t>bs_cash FY2022 = 600; bs_cash FY2023 = 900; cf_net_change_in_cash FY2023 = 300</t>
  </si>
  <si>
    <t>N/A</t>
  </si>
  <si>
    <t>re_rollforward</t>
  </si>
  <si>
    <t>bs_retained_earnings FY2023 = 1300; bs_retained_earnings FY2022 = 800; is_net_income FY2023 = 500</t>
  </si>
  <si>
    <t>ni_pl_equals_cf</t>
  </si>
  <si>
    <t>is_net_income FY2023 = 500; cf_net_income FY2023 = 500</t>
  </si>
  <si>
    <t>subtotals_match_source</t>
  </si>
  <si>
    <t>is_gross_profit FY2023 = 2000; is_revenue FY2023 = 5000; is_cost_of_sales FY2023 = -3000</t>
  </si>
  <si>
    <t>is_gross_profit FY2022 = 1700; is_revenue FY2022 = 4500; is_cost_of_sales FY2022 = -2800</t>
  </si>
  <si>
    <t>lines_complete</t>
  </si>
  <si>
    <t>is_net_income FY2023 = 500; is_revenue FY2023 = 5000; is_cost_of_sales FY2023 = -3000; is_operating_expenses FY2023 = -1200; is_interest_expense FY2023 = -100; is_income_tax FY2023 = -200</t>
  </si>
  <si>
    <t>is_net_income FY2022 = 350; is_revenue FY2022 = 4500; is_cost_of_sales FY2022 = -2800; is_operating_expenses FY2022 = -1100; is_interest_expense FY2022 = -100; is_income_tax FY2022 = -150</t>
  </si>
  <si>
    <t>Run id</t>
  </si>
  <si>
    <t>run-09bebc1ddea54a54</t>
  </si>
  <si>
    <t>Company</t>
  </si>
  <si>
    <t>company-adhoc</t>
  </si>
  <si>
    <t>delivered</t>
  </si>
  <si>
    <t>Workbook version</t>
  </si>
  <si>
    <t>Currency</t>
  </si>
  <si>
    <t>USD</t>
  </si>
  <si>
    <t>Scale</t>
  </si>
  <si>
    <t>thousands</t>
  </si>
  <si>
    <t>Plug figures</t>
  </si>
  <si>
    <t>Checks OK</t>
  </si>
  <si>
    <t>Checks CHECK</t>
  </si>
  <si>
    <t>Checks N/A</t>
  </si>
  <si>
    <t>Exceptions</t>
  </si>
  <si>
    <t>Attempts</t>
  </si>
  <si>
    <t>Explanation</t>
  </si>
  <si>
    <t>Code</t>
  </si>
  <si>
    <t>Where</t>
  </si>
  <si>
    <t>Detail</t>
  </si>
  <si>
    <t>check_not_applicable</t>
  </si>
  <si>
    <t>cf_cash_reconciles:FY2022</t>
  </si>
  <si>
    <t>no prior balance sheet for the first period</t>
  </si>
  <si>
    <t>re_rollforward:FY2022</t>
  </si>
  <si>
    <t>ni_pl_equals_cf:FY2022</t>
  </si>
  <si>
    <t>missing: cf_net_income (FY2022)</t>
  </si>
  <si>
    <t>Who</t>
  </si>
  <si>
    <t>What</t>
  </si>
  <si>
    <t>When</t>
  </si>
  <si>
    <t>Why</t>
  </si>
  <si>
    <t>Raw line id</t>
  </si>
  <si>
    <t>Standard line id</t>
  </si>
  <si>
    <t>Confidence</t>
  </si>
  <si>
    <t>Origin</t>
  </si>
  <si>
    <t>Rationale</t>
  </si>
  <si>
    <t>Correction id</t>
  </si>
  <si>
    <t>Corrected standard line id</t>
  </si>
  <si>
    <t>doc-f8be3c78bf6e:p3:l1</t>
  </si>
  <si>
    <t>rule: revenue</t>
  </si>
  <si>
    <t>doc-f8be3c78bf6e:p3:l2</t>
  </si>
  <si>
    <t>doc-f8be3c78bf6e:p3:l3</t>
  </si>
  <si>
    <t>rule: cost of sales</t>
  </si>
  <si>
    <t>doc-f8be3c78bf6e:p3:l4</t>
  </si>
  <si>
    <t>doc-f8be3c78bf6e:p3:l5</t>
  </si>
  <si>
    <t>rule: gross profit</t>
  </si>
  <si>
    <t>doc-f8be3c78bf6e:p3:l6</t>
  </si>
  <si>
    <t>doc-f8be3c78bf6e:p3:l7</t>
  </si>
  <si>
    <t>rule: operating expenses</t>
  </si>
  <si>
    <t>doc-f8be3c78bf6e:p3:l8</t>
  </si>
  <si>
    <t>doc-f8be3c78bf6e:p3:l9</t>
  </si>
  <si>
    <t>rule: operating profit</t>
  </si>
  <si>
    <t>doc-f8be3c78bf6e:p3:l10</t>
  </si>
  <si>
    <t>doc-f8be3c78bf6e:p3:l11</t>
  </si>
  <si>
    <t>rule: interest expense</t>
  </si>
  <si>
    <t>doc-f8be3c78bf6e:p3:l12</t>
  </si>
  <si>
    <t>doc-f8be3c78bf6e:p3:l13</t>
  </si>
  <si>
    <t>rule: profit before tax</t>
  </si>
  <si>
    <t>doc-f8be3c78bf6e:p3:l14</t>
  </si>
  <si>
    <t>doc-f8be3c78bf6e:p3:l15</t>
  </si>
  <si>
    <t>rule: income tax</t>
  </si>
  <si>
    <t>doc-f8be3c78bf6e:p3:l16</t>
  </si>
  <si>
    <t>doc-f8be3c78bf6e:p3:l17</t>
  </si>
  <si>
    <t>rule: net income</t>
  </si>
  <si>
    <t>doc-f8be3c78bf6e:p3:l18</t>
  </si>
  <si>
    <t>doc-f8be3c78bf6e:p5:l1</t>
  </si>
  <si>
    <t>rule: cash and cash equivalents</t>
  </si>
  <si>
    <t>doc-f8be3c78bf6e:p5:l2</t>
  </si>
  <si>
    <t>doc-f8be3c78bf6e:p5:l3</t>
  </si>
  <si>
    <t>rule: trade receivables</t>
  </si>
  <si>
    <t>doc-f8be3c78bf6e:p5:l4</t>
  </si>
  <si>
    <t>doc-f8be3c78bf6e:p5:l5</t>
  </si>
  <si>
    <t>rule: inventory</t>
  </si>
  <si>
    <t>doc-f8be3c78bf6e:p5:l6</t>
  </si>
  <si>
    <t>doc-f8be3c78bf6e:p5:l7</t>
  </si>
  <si>
    <t>rule: total current assets</t>
  </si>
  <si>
    <t>doc-f8be3c78bf6e:p5:l8</t>
  </si>
  <si>
    <t>doc-f8be3c78bf6e:p5:l9</t>
  </si>
  <si>
    <t>rule: property plant and equipment</t>
  </si>
  <si>
    <t>doc-f8be3c78bf6e:p5:l10</t>
  </si>
  <si>
    <t>doc-f8be3c78bf6e:p5:l11</t>
  </si>
  <si>
    <t>rule: total assets</t>
  </si>
  <si>
    <t>doc-f8be3c78bf6e:p5:l12</t>
  </si>
  <si>
    <t>doc-f8be3c78bf6e:p5:l13</t>
  </si>
  <si>
    <t>rule: trade payables</t>
  </si>
  <si>
    <t>doc-f8be3c78bf6e:p5:l14</t>
  </si>
  <si>
    <t>doc-f8be3c78bf6e:p5:l15</t>
  </si>
  <si>
    <t>rule: borrowings</t>
  </si>
  <si>
    <t>doc-f8be3c78bf6e:p5:l16</t>
  </si>
  <si>
    <t>doc-f8be3c78bf6e:p5:l17</t>
  </si>
  <si>
    <t>rule: total liabilities</t>
  </si>
  <si>
    <t>doc-f8be3c78bf6e:p5:l18</t>
  </si>
  <si>
    <t>doc-f8be3c78bf6e:p5:l19</t>
  </si>
  <si>
    <t>rule: share capital</t>
  </si>
  <si>
    <t>doc-f8be3c78bf6e:p5:l20</t>
  </si>
  <si>
    <t>doc-f8be3c78bf6e:p5:l21</t>
  </si>
  <si>
    <t>rule: retained earnings</t>
  </si>
  <si>
    <t>doc-f8be3c78bf6e:p5:l22</t>
  </si>
  <si>
    <t>doc-f8be3c78bf6e:p5:l23</t>
  </si>
  <si>
    <t>rule: total equity</t>
  </si>
  <si>
    <t>doc-f8be3c78bf6e:p5:l24</t>
  </si>
  <si>
    <t>doc-f8be3c78bf6e:p5:l25</t>
  </si>
  <si>
    <t>rule: total liabilities and equity</t>
  </si>
  <si>
    <t>doc-f8be3c78bf6e:p5:l26</t>
  </si>
  <si>
    <t>doc-f8be3c78bf6e:p7:l1</t>
  </si>
  <si>
    <t>doc-f8be3c78bf6e:p7:l2</t>
  </si>
  <si>
    <t>rule: depreciation and amortisation</t>
  </si>
  <si>
    <t>doc-f8be3c78bf6e:p7:l3</t>
  </si>
  <si>
    <t>rule: increase in receivables</t>
  </si>
  <si>
    <t>doc-f8be3c78bf6e:p7:l4</t>
  </si>
  <si>
    <t>rule: increase in inventory</t>
  </si>
  <si>
    <t>doc-f8be3c78bf6e:p7:l5</t>
  </si>
  <si>
    <t>rule: increase in payables</t>
  </si>
  <si>
    <t>doc-f8be3c78bf6e:p7:l6</t>
  </si>
  <si>
    <t>rule: net cash from operating activities</t>
  </si>
  <si>
    <t>doc-f8be3c78bf6e:p7:l7</t>
  </si>
  <si>
    <t>rule: purchase of property plant and equipment</t>
  </si>
  <si>
    <t>doc-f8be3c78bf6e:p7:l8</t>
  </si>
  <si>
    <t>rule: net cash from investing activities</t>
  </si>
  <si>
    <t>doc-f8be3c78bf6e:p7:l9</t>
  </si>
  <si>
    <t>rule: net cash from financing activities</t>
  </si>
  <si>
    <t>doc-f8be3c78bf6e:p7:l10</t>
  </si>
  <si>
    <t>rule: net change in cash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</si>
</sst>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6F0"/>
        <bgColor indexed="64"/>
      </patternFill>
    </fill>
    <fill>
      <patternFill patternType="solid">
        <fgColor rgb="FFFFF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8.7109375" customWidth="1"/>
    <col min="2" max="4" width="18.7109375" customWidth="1"/>
    <col min="5" max="5" width="70.7109375" customWidth="1"/>
  </cols>
  <sheetData>
    <row r="1" spans="1:5">
      <c r="A1" s="1" t="s">
        <v>194</v>
      </c>
      <c r="B1" t="s">
        <v>195</v>
      </c>
    </row>
    <row r="2" spans="1:5">
      <c r="A2" s="1" t="s">
        <v>196</v>
      </c>
      <c r="B2" t="s">
        <v>197</v>
      </c>
    </row>
    <row r="3" spans="1:5">
      <c r="A3" s="1" t="s">
        <v>176</v>
      </c>
      <c r="B3" t="s">
        <v>198</v>
      </c>
    </row>
    <row r="4" spans="1:5">
      <c r="A4" s="1" t="s">
        <v>199</v>
      </c>
      <c r="B4">
        <v>1</v>
      </c>
    </row>
    <row r="5" spans="1:5">
      <c r="A5" s="1" t="s">
        <v>200</v>
      </c>
      <c r="B5" t="s">
        <v>201</v>
      </c>
    </row>
    <row r="6" spans="1:5">
      <c r="A6" s="1" t="s">
        <v>202</v>
      </c>
      <c r="B6" t="s">
        <v>203</v>
      </c>
    </row>
    <row r="7" spans="1:5">
      <c r="A7" s="1" t="s">
        <v>171</v>
      </c>
      <c r="B7">
        <v>2</v>
      </c>
    </row>
    <row r="8" spans="1:5">
      <c r="A8" s="1" t="s">
        <v>204</v>
      </c>
      <c r="B8">
        <v>0</v>
      </c>
    </row>
    <row r="10" spans="1:5">
      <c r="A10" s="1" t="s">
        <v>205</v>
      </c>
      <c r="B10">
        <f>COUNTIF(Reconciliations!$F$4:Reconciliations!$F$15,"OK")</f>
        <v>9</v>
      </c>
    </row>
    <row r="11" spans="1:5">
      <c r="A11" s="1" t="s">
        <v>206</v>
      </c>
      <c r="B11">
        <f>COUNTIF(Reconciliations!$F$4:Reconciliations!$F$15,"CHECK")</f>
        <v>0</v>
      </c>
    </row>
    <row r="12" spans="1:5">
      <c r="A12" s="1" t="s">
        <v>207</v>
      </c>
      <c r="B12">
        <f>COUNTIF(Reconciliations!$F$4:Reconciliations!$F$15,"N/A")</f>
        <v>3</v>
      </c>
    </row>
    <row r="14" spans="1:5">
      <c r="A14" s="1" t="s">
        <v>208</v>
      </c>
    </row>
    <row r="15" spans="1:5">
      <c r="A15" s="2" t="s">
        <v>172</v>
      </c>
      <c r="B15" s="2" t="s">
        <v>126</v>
      </c>
      <c r="C15" s="2" t="s">
        <v>175</v>
      </c>
      <c r="D15" s="2" t="s">
        <v>209</v>
      </c>
      <c r="E15" s="2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40.7109375" customWidth="1"/>
    <col min="3" max="5" width="14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s="3">
        <v>5000</v>
      </c>
      <c r="D2" s="3">
        <v>4500</v>
      </c>
    </row>
    <row r="3" spans="1:4">
      <c r="A3" t="s">
        <v>6</v>
      </c>
      <c r="B3" t="s">
        <v>7</v>
      </c>
      <c r="C3" s="3">
        <v>-3000</v>
      </c>
      <c r="D3" s="3">
        <v>-2800</v>
      </c>
    </row>
    <row r="4" spans="1:4">
      <c r="A4" t="s">
        <v>8</v>
      </c>
      <c r="B4" t="s">
        <v>9</v>
      </c>
      <c r="C4" s="3">
        <v>2000</v>
      </c>
      <c r="D4" s="3">
        <v>1700</v>
      </c>
    </row>
    <row r="5" spans="1:4">
      <c r="A5" t="s">
        <v>10</v>
      </c>
      <c r="B5" t="s">
        <v>11</v>
      </c>
      <c r="C5" s="3">
        <v>-1200</v>
      </c>
      <c r="D5" s="3">
        <v>-1100</v>
      </c>
    </row>
    <row r="6" spans="1:4">
      <c r="A6" t="s">
        <v>12</v>
      </c>
      <c r="B6" t="s">
        <v>13</v>
      </c>
      <c r="C6" s="3">
        <v>800</v>
      </c>
      <c r="D6" s="3">
        <v>600</v>
      </c>
    </row>
    <row r="7" spans="1:4">
      <c r="A7" t="s">
        <v>14</v>
      </c>
      <c r="B7" t="s">
        <v>15</v>
      </c>
      <c r="C7" s="3">
        <v>-100</v>
      </c>
      <c r="D7" s="3">
        <v>-100</v>
      </c>
    </row>
    <row r="8" spans="1:4">
      <c r="A8" t="s">
        <v>16</v>
      </c>
      <c r="B8" t="s">
        <v>17</v>
      </c>
      <c r="C8" s="3">
        <v>700</v>
      </c>
      <c r="D8" s="3">
        <v>500</v>
      </c>
    </row>
    <row r="9" spans="1:4">
      <c r="A9" t="s">
        <v>18</v>
      </c>
      <c r="B9" t="s">
        <v>19</v>
      </c>
      <c r="C9" s="3">
        <v>-200</v>
      </c>
      <c r="D9" s="3">
        <v>-150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  <c r="C11" s="3">
        <v>500</v>
      </c>
      <c r="D11" s="3">
        <v>350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35</v>
      </c>
    </row>
    <row r="18" spans="1:2">
      <c r="A18" t="s">
        <v>36</v>
      </c>
      <c r="B18" t="s">
        <v>37</v>
      </c>
    </row>
    <row r="19" spans="1:2">
      <c r="A19" t="s">
        <v>38</v>
      </c>
      <c r="B1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40.7109375" customWidth="1"/>
    <col min="3" max="5" width="14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40</v>
      </c>
      <c r="B2" t="s">
        <v>41</v>
      </c>
      <c r="C2" s="3">
        <v>900</v>
      </c>
      <c r="D2" s="3">
        <v>600</v>
      </c>
    </row>
    <row r="3" spans="1:4">
      <c r="A3" t="s">
        <v>42</v>
      </c>
      <c r="B3" t="s">
        <v>43</v>
      </c>
      <c r="C3" s="3">
        <v>600</v>
      </c>
      <c r="D3" s="3">
        <v>500</v>
      </c>
    </row>
    <row r="4" spans="1:4">
      <c r="A4" t="s">
        <v>44</v>
      </c>
      <c r="B4" t="s">
        <v>45</v>
      </c>
      <c r="C4" s="3">
        <v>500</v>
      </c>
      <c r="D4" s="3">
        <v>400</v>
      </c>
    </row>
    <row r="5" spans="1:4">
      <c r="A5" t="s">
        <v>46</v>
      </c>
      <c r="B5" t="s">
        <v>47</v>
      </c>
    </row>
    <row r="6" spans="1:4">
      <c r="A6" t="s">
        <v>48</v>
      </c>
      <c r="B6" t="s">
        <v>49</v>
      </c>
      <c r="C6" s="3">
        <v>2000</v>
      </c>
      <c r="D6" s="3">
        <v>1500</v>
      </c>
    </row>
    <row r="7" spans="1:4">
      <c r="A7" t="s">
        <v>50</v>
      </c>
      <c r="B7" t="s">
        <v>51</v>
      </c>
      <c r="C7" s="3">
        <v>1500</v>
      </c>
      <c r="D7" s="3">
        <v>1300</v>
      </c>
    </row>
    <row r="8" spans="1:4">
      <c r="A8" t="s">
        <v>52</v>
      </c>
      <c r="B8" t="s">
        <v>53</v>
      </c>
    </row>
    <row r="9" spans="1:4">
      <c r="A9" t="s">
        <v>54</v>
      </c>
      <c r="B9" t="s">
        <v>55</v>
      </c>
    </row>
    <row r="10" spans="1:4">
      <c r="A10" t="s">
        <v>56</v>
      </c>
      <c r="B10" t="s">
        <v>57</v>
      </c>
    </row>
    <row r="11" spans="1:4">
      <c r="A11" t="s">
        <v>58</v>
      </c>
      <c r="B11" t="s">
        <v>59</v>
      </c>
      <c r="C11" s="3">
        <v>3500</v>
      </c>
      <c r="D11" s="3">
        <v>2800</v>
      </c>
    </row>
    <row r="12" spans="1:4">
      <c r="A12" t="s">
        <v>60</v>
      </c>
      <c r="B12" t="s">
        <v>61</v>
      </c>
      <c r="C12" s="3">
        <v>700</v>
      </c>
      <c r="D12" s="3">
        <v>600</v>
      </c>
    </row>
    <row r="13" spans="1:4">
      <c r="A13" t="s">
        <v>62</v>
      </c>
      <c r="B13" t="s">
        <v>63</v>
      </c>
      <c r="C13" s="3">
        <v>1000</v>
      </c>
      <c r="D13" s="3">
        <v>900</v>
      </c>
    </row>
    <row r="14" spans="1:4">
      <c r="A14" t="s">
        <v>64</v>
      </c>
      <c r="B14" t="s">
        <v>65</v>
      </c>
    </row>
    <row r="15" spans="1:4">
      <c r="A15" t="s">
        <v>66</v>
      </c>
      <c r="B15" t="s">
        <v>67</v>
      </c>
    </row>
    <row r="16" spans="1:4">
      <c r="A16" t="s">
        <v>68</v>
      </c>
      <c r="B16" t="s">
        <v>69</v>
      </c>
    </row>
    <row r="17" spans="1:4">
      <c r="A17" t="s">
        <v>70</v>
      </c>
      <c r="B17" t="s">
        <v>71</v>
      </c>
      <c r="C17" s="3">
        <v>1700</v>
      </c>
      <c r="D17" s="3">
        <v>1500</v>
      </c>
    </row>
    <row r="18" spans="1:4">
      <c r="A18" t="s">
        <v>72</v>
      </c>
      <c r="B18" t="s">
        <v>73</v>
      </c>
      <c r="C18" s="3">
        <v>500</v>
      </c>
      <c r="D18" s="3">
        <v>500</v>
      </c>
    </row>
    <row r="19" spans="1:4">
      <c r="A19" t="s">
        <v>74</v>
      </c>
      <c r="B19" t="s">
        <v>75</v>
      </c>
      <c r="C19" s="3">
        <v>1300</v>
      </c>
      <c r="D19" s="3">
        <v>800</v>
      </c>
    </row>
    <row r="20" spans="1:4">
      <c r="A20" t="s">
        <v>76</v>
      </c>
      <c r="B20" t="s">
        <v>77</v>
      </c>
    </row>
    <row r="21" spans="1:4">
      <c r="A21" t="s">
        <v>78</v>
      </c>
      <c r="B21" t="s">
        <v>79</v>
      </c>
    </row>
    <row r="22" spans="1:4">
      <c r="A22" t="s">
        <v>80</v>
      </c>
      <c r="B22" t="s">
        <v>81</v>
      </c>
    </row>
    <row r="23" spans="1:4">
      <c r="A23" t="s">
        <v>82</v>
      </c>
      <c r="B23" t="s">
        <v>83</v>
      </c>
      <c r="C23" s="3">
        <v>1800</v>
      </c>
      <c r="D23" s="3">
        <v>1300</v>
      </c>
    </row>
    <row r="24" spans="1:4">
      <c r="A24" t="s">
        <v>84</v>
      </c>
      <c r="B24" t="s">
        <v>85</v>
      </c>
      <c r="C24" s="3">
        <v>3500</v>
      </c>
      <c r="D24" s="3">
        <v>2800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8.7109375" customWidth="1"/>
    <col min="2" max="2" width="40.7109375" customWidth="1"/>
    <col min="3" max="5" width="14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86</v>
      </c>
      <c r="B2" t="s">
        <v>87</v>
      </c>
      <c r="C2" s="3">
        <v>500</v>
      </c>
    </row>
    <row r="3" spans="1:4">
      <c r="A3" t="s">
        <v>88</v>
      </c>
      <c r="B3" t="s">
        <v>89</v>
      </c>
    </row>
    <row r="4" spans="1:4">
      <c r="A4" t="s">
        <v>90</v>
      </c>
      <c r="B4" t="s">
        <v>91</v>
      </c>
      <c r="C4" s="3">
        <v>100</v>
      </c>
    </row>
    <row r="5" spans="1:4">
      <c r="A5" t="s">
        <v>92</v>
      </c>
      <c r="B5" t="s">
        <v>93</v>
      </c>
      <c r="C5" s="3">
        <v>-100</v>
      </c>
    </row>
    <row r="6" spans="1:4">
      <c r="A6" t="s">
        <v>94</v>
      </c>
      <c r="B6" t="s">
        <v>95</v>
      </c>
      <c r="C6" s="3">
        <v>-100</v>
      </c>
    </row>
    <row r="7" spans="1:4">
      <c r="A7" t="s">
        <v>96</v>
      </c>
      <c r="B7" t="s">
        <v>97</v>
      </c>
      <c r="C7" s="3">
        <v>100</v>
      </c>
    </row>
    <row r="8" spans="1:4">
      <c r="A8" t="s">
        <v>98</v>
      </c>
      <c r="B8" t="s">
        <v>99</v>
      </c>
    </row>
    <row r="9" spans="1:4">
      <c r="A9" t="s">
        <v>100</v>
      </c>
      <c r="B9" t="s">
        <v>101</v>
      </c>
      <c r="C9" s="3">
        <v>500</v>
      </c>
    </row>
    <row r="10" spans="1:4">
      <c r="A10" t="s">
        <v>102</v>
      </c>
      <c r="B10" t="s">
        <v>103</v>
      </c>
      <c r="C10" s="3">
        <v>-300</v>
      </c>
    </row>
    <row r="11" spans="1:4">
      <c r="A11" t="s">
        <v>104</v>
      </c>
      <c r="B11" t="s">
        <v>105</v>
      </c>
    </row>
    <row r="12" spans="1:4">
      <c r="A12" t="s">
        <v>106</v>
      </c>
      <c r="B12" t="s">
        <v>107</v>
      </c>
      <c r="C12" s="3">
        <v>-300</v>
      </c>
    </row>
    <row r="13" spans="1:4">
      <c r="A13" t="s">
        <v>108</v>
      </c>
      <c r="B13" t="s">
        <v>109</v>
      </c>
    </row>
    <row r="14" spans="1:4">
      <c r="A14" t="s">
        <v>110</v>
      </c>
      <c r="B14" t="s">
        <v>111</v>
      </c>
    </row>
    <row r="15" spans="1:4">
      <c r="A15" t="s">
        <v>112</v>
      </c>
      <c r="B15" t="s">
        <v>113</v>
      </c>
    </row>
    <row r="16" spans="1:4">
      <c r="A16" t="s">
        <v>114</v>
      </c>
      <c r="B16" t="s">
        <v>115</v>
      </c>
      <c r="C16" s="3">
        <v>100</v>
      </c>
    </row>
    <row r="17" spans="1:3">
      <c r="A17" t="s">
        <v>116</v>
      </c>
      <c r="B17" t="s">
        <v>117</v>
      </c>
    </row>
    <row r="18" spans="1:3">
      <c r="A18" t="s">
        <v>118</v>
      </c>
      <c r="B18" t="s">
        <v>119</v>
      </c>
      <c r="C18" s="3">
        <v>300</v>
      </c>
    </row>
    <row r="19" spans="1:3">
      <c r="A19" t="s">
        <v>120</v>
      </c>
      <c r="B19" t="s">
        <v>121</v>
      </c>
    </row>
    <row r="20" spans="1:3">
      <c r="A20" t="s">
        <v>122</v>
      </c>
      <c r="B20" t="s">
        <v>123</v>
      </c>
    </row>
    <row r="21" spans="1:3">
      <c r="A21" t="s">
        <v>124</v>
      </c>
      <c r="B21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36.7109375" customWidth="1"/>
  </cols>
  <sheetData>
    <row r="1" spans="1:9">
      <c r="A1" s="2" t="s">
        <v>126</v>
      </c>
      <c r="B1" s="2" t="s">
        <v>0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</row>
    <row r="2" spans="1:9">
      <c r="A2" t="s">
        <v>2</v>
      </c>
      <c r="B2" t="s">
        <v>4</v>
      </c>
      <c r="C2" t="s">
        <v>134</v>
      </c>
      <c r="D2">
        <v>3</v>
      </c>
      <c r="E2" t="s">
        <v>5</v>
      </c>
      <c r="F2" t="s">
        <v>135</v>
      </c>
      <c r="G2" t="s">
        <v>136</v>
      </c>
      <c r="H2" t="s">
        <v>137</v>
      </c>
      <c r="I2" t="s">
        <v>138</v>
      </c>
    </row>
    <row r="3" spans="1:9">
      <c r="A3" t="s">
        <v>2</v>
      </c>
      <c r="B3" t="s">
        <v>6</v>
      </c>
      <c r="C3" t="s">
        <v>134</v>
      </c>
      <c r="D3">
        <v>3</v>
      </c>
      <c r="E3" t="s">
        <v>7</v>
      </c>
      <c r="F3" t="s">
        <v>139</v>
      </c>
      <c r="G3" t="s">
        <v>136</v>
      </c>
      <c r="H3" t="s">
        <v>137</v>
      </c>
      <c r="I3" t="s">
        <v>138</v>
      </c>
    </row>
    <row r="4" spans="1:9">
      <c r="A4" t="s">
        <v>2</v>
      </c>
      <c r="B4" t="s">
        <v>8</v>
      </c>
      <c r="C4" t="s">
        <v>134</v>
      </c>
      <c r="D4">
        <v>3</v>
      </c>
      <c r="E4" t="s">
        <v>9</v>
      </c>
      <c r="F4" t="s">
        <v>140</v>
      </c>
      <c r="G4" t="s">
        <v>136</v>
      </c>
      <c r="H4" t="s">
        <v>137</v>
      </c>
      <c r="I4" t="s">
        <v>138</v>
      </c>
    </row>
    <row r="5" spans="1:9">
      <c r="A5" t="s">
        <v>2</v>
      </c>
      <c r="B5" t="s">
        <v>10</v>
      </c>
      <c r="C5" t="s">
        <v>134</v>
      </c>
      <c r="D5">
        <v>3</v>
      </c>
      <c r="E5" t="s">
        <v>11</v>
      </c>
      <c r="F5" t="s">
        <v>141</v>
      </c>
      <c r="G5" t="s">
        <v>136</v>
      </c>
      <c r="H5" t="s">
        <v>137</v>
      </c>
      <c r="I5" t="s">
        <v>138</v>
      </c>
    </row>
    <row r="6" spans="1:9">
      <c r="A6" t="s">
        <v>2</v>
      </c>
      <c r="B6" t="s">
        <v>12</v>
      </c>
      <c r="C6" t="s">
        <v>134</v>
      </c>
      <c r="D6">
        <v>3</v>
      </c>
      <c r="E6" t="s">
        <v>13</v>
      </c>
      <c r="F6" t="s">
        <v>142</v>
      </c>
      <c r="G6" t="s">
        <v>136</v>
      </c>
      <c r="H6" t="s">
        <v>137</v>
      </c>
      <c r="I6" t="s">
        <v>138</v>
      </c>
    </row>
    <row r="7" spans="1:9">
      <c r="A7" t="s">
        <v>2</v>
      </c>
      <c r="B7" t="s">
        <v>14</v>
      </c>
      <c r="C7" t="s">
        <v>134</v>
      </c>
      <c r="D7">
        <v>3</v>
      </c>
      <c r="E7" t="s">
        <v>15</v>
      </c>
      <c r="F7" t="s">
        <v>143</v>
      </c>
      <c r="G7" t="s">
        <v>136</v>
      </c>
      <c r="H7" t="s">
        <v>137</v>
      </c>
      <c r="I7" t="s">
        <v>138</v>
      </c>
    </row>
    <row r="8" spans="1:9">
      <c r="A8" t="s">
        <v>2</v>
      </c>
      <c r="B8" t="s">
        <v>16</v>
      </c>
      <c r="C8" t="s">
        <v>134</v>
      </c>
      <c r="D8">
        <v>3</v>
      </c>
      <c r="E8" t="s">
        <v>17</v>
      </c>
      <c r="F8" t="s">
        <v>144</v>
      </c>
      <c r="G8" t="s">
        <v>136</v>
      </c>
      <c r="H8" t="s">
        <v>137</v>
      </c>
      <c r="I8" t="s">
        <v>138</v>
      </c>
    </row>
    <row r="9" spans="1:9">
      <c r="A9" t="s">
        <v>2</v>
      </c>
      <c r="B9" t="s">
        <v>18</v>
      </c>
      <c r="C9" t="s">
        <v>134</v>
      </c>
      <c r="D9">
        <v>3</v>
      </c>
      <c r="E9" t="s">
        <v>19</v>
      </c>
      <c r="F9" t="s">
        <v>145</v>
      </c>
      <c r="G9" t="s">
        <v>136</v>
      </c>
      <c r="H9" t="s">
        <v>137</v>
      </c>
      <c r="I9" t="s">
        <v>138</v>
      </c>
    </row>
    <row r="10" spans="1:9">
      <c r="A10" t="s">
        <v>2</v>
      </c>
      <c r="B10" t="s">
        <v>22</v>
      </c>
      <c r="C10" t="s">
        <v>134</v>
      </c>
      <c r="D10">
        <v>3</v>
      </c>
      <c r="E10" t="s">
        <v>23</v>
      </c>
      <c r="F10" t="s">
        <v>146</v>
      </c>
      <c r="G10" t="s">
        <v>136</v>
      </c>
      <c r="H10" t="s">
        <v>137</v>
      </c>
      <c r="I10" t="s">
        <v>138</v>
      </c>
    </row>
    <row r="11" spans="1:9">
      <c r="A11" t="s">
        <v>2</v>
      </c>
      <c r="B11" t="s">
        <v>40</v>
      </c>
      <c r="C11" t="s">
        <v>134</v>
      </c>
      <c r="D11">
        <v>5</v>
      </c>
      <c r="E11" t="s">
        <v>41</v>
      </c>
      <c r="F11" t="s">
        <v>147</v>
      </c>
      <c r="G11" t="s">
        <v>136</v>
      </c>
      <c r="H11" t="s">
        <v>137</v>
      </c>
      <c r="I11" t="s">
        <v>138</v>
      </c>
    </row>
    <row r="12" spans="1:9">
      <c r="A12" t="s">
        <v>2</v>
      </c>
      <c r="B12" t="s">
        <v>42</v>
      </c>
      <c r="C12" t="s">
        <v>134</v>
      </c>
      <c r="D12">
        <v>5</v>
      </c>
      <c r="E12" t="s">
        <v>148</v>
      </c>
      <c r="F12" t="s">
        <v>149</v>
      </c>
      <c r="G12" t="s">
        <v>136</v>
      </c>
      <c r="H12" t="s">
        <v>137</v>
      </c>
      <c r="I12" t="s">
        <v>138</v>
      </c>
    </row>
    <row r="13" spans="1:9">
      <c r="A13" t="s">
        <v>2</v>
      </c>
      <c r="B13" t="s">
        <v>44</v>
      </c>
      <c r="C13" t="s">
        <v>134</v>
      </c>
      <c r="D13">
        <v>5</v>
      </c>
      <c r="E13" t="s">
        <v>45</v>
      </c>
      <c r="F13" t="s">
        <v>146</v>
      </c>
      <c r="G13" t="s">
        <v>136</v>
      </c>
      <c r="H13" t="s">
        <v>137</v>
      </c>
      <c r="I13" t="s">
        <v>138</v>
      </c>
    </row>
    <row r="14" spans="1:9">
      <c r="A14" t="s">
        <v>2</v>
      </c>
      <c r="B14" t="s">
        <v>48</v>
      </c>
      <c r="C14" t="s">
        <v>134</v>
      </c>
      <c r="D14">
        <v>5</v>
      </c>
      <c r="E14" t="s">
        <v>49</v>
      </c>
      <c r="F14" t="s">
        <v>140</v>
      </c>
      <c r="G14" t="s">
        <v>136</v>
      </c>
      <c r="H14" t="s">
        <v>137</v>
      </c>
      <c r="I14" t="s">
        <v>138</v>
      </c>
    </row>
    <row r="15" spans="1:9">
      <c r="A15" t="s">
        <v>2</v>
      </c>
      <c r="B15" t="s">
        <v>50</v>
      </c>
      <c r="C15" t="s">
        <v>134</v>
      </c>
      <c r="D15">
        <v>5</v>
      </c>
      <c r="E15" t="s">
        <v>51</v>
      </c>
      <c r="F15" t="s">
        <v>150</v>
      </c>
      <c r="G15" t="s">
        <v>136</v>
      </c>
      <c r="H15" t="s">
        <v>137</v>
      </c>
      <c r="I15" t="s">
        <v>138</v>
      </c>
    </row>
    <row r="16" spans="1:9">
      <c r="A16" t="s">
        <v>2</v>
      </c>
      <c r="B16" t="s">
        <v>58</v>
      </c>
      <c r="C16" t="s">
        <v>134</v>
      </c>
      <c r="D16">
        <v>5</v>
      </c>
      <c r="E16" t="s">
        <v>59</v>
      </c>
      <c r="F16" t="s">
        <v>151</v>
      </c>
      <c r="G16" t="s">
        <v>136</v>
      </c>
      <c r="H16" t="s">
        <v>137</v>
      </c>
      <c r="I16" t="s">
        <v>138</v>
      </c>
    </row>
    <row r="17" spans="1:9">
      <c r="A17" t="s">
        <v>2</v>
      </c>
      <c r="B17" t="s">
        <v>60</v>
      </c>
      <c r="C17" t="s">
        <v>134</v>
      </c>
      <c r="D17">
        <v>5</v>
      </c>
      <c r="E17" t="s">
        <v>152</v>
      </c>
      <c r="F17" t="s">
        <v>144</v>
      </c>
      <c r="G17" t="s">
        <v>136</v>
      </c>
      <c r="H17" t="s">
        <v>137</v>
      </c>
      <c r="I17" t="s">
        <v>138</v>
      </c>
    </row>
    <row r="18" spans="1:9">
      <c r="A18" t="s">
        <v>2</v>
      </c>
      <c r="B18" t="s">
        <v>62</v>
      </c>
      <c r="C18" t="s">
        <v>134</v>
      </c>
      <c r="D18">
        <v>5</v>
      </c>
      <c r="E18" t="s">
        <v>63</v>
      </c>
      <c r="F18" t="s">
        <v>153</v>
      </c>
      <c r="G18" t="s">
        <v>136</v>
      </c>
      <c r="H18" t="s">
        <v>137</v>
      </c>
      <c r="I18" t="s">
        <v>138</v>
      </c>
    </row>
    <row r="19" spans="1:9">
      <c r="A19" t="s">
        <v>2</v>
      </c>
      <c r="B19" t="s">
        <v>70</v>
      </c>
      <c r="C19" t="s">
        <v>134</v>
      </c>
      <c r="D19">
        <v>5</v>
      </c>
      <c r="E19" t="s">
        <v>71</v>
      </c>
      <c r="F19" t="s">
        <v>154</v>
      </c>
      <c r="G19" t="s">
        <v>136</v>
      </c>
      <c r="H19" t="s">
        <v>137</v>
      </c>
      <c r="I19" t="s">
        <v>138</v>
      </c>
    </row>
    <row r="20" spans="1:9">
      <c r="A20" t="s">
        <v>2</v>
      </c>
      <c r="B20" t="s">
        <v>72</v>
      </c>
      <c r="C20" t="s">
        <v>134</v>
      </c>
      <c r="D20">
        <v>5</v>
      </c>
      <c r="E20" t="s">
        <v>73</v>
      </c>
      <c r="F20" t="s">
        <v>146</v>
      </c>
      <c r="G20" t="s">
        <v>136</v>
      </c>
      <c r="H20" t="s">
        <v>137</v>
      </c>
      <c r="I20" t="s">
        <v>138</v>
      </c>
    </row>
    <row r="21" spans="1:9">
      <c r="A21" t="s">
        <v>2</v>
      </c>
      <c r="B21" t="s">
        <v>74</v>
      </c>
      <c r="C21" t="s">
        <v>134</v>
      </c>
      <c r="D21">
        <v>5</v>
      </c>
      <c r="E21" t="s">
        <v>75</v>
      </c>
      <c r="F21" t="s">
        <v>155</v>
      </c>
      <c r="G21" t="s">
        <v>136</v>
      </c>
      <c r="H21" t="s">
        <v>137</v>
      </c>
      <c r="I21" t="s">
        <v>138</v>
      </c>
    </row>
    <row r="22" spans="1:9">
      <c r="A22" t="s">
        <v>2</v>
      </c>
      <c r="B22" t="s">
        <v>82</v>
      </c>
      <c r="C22" t="s">
        <v>134</v>
      </c>
      <c r="D22">
        <v>5</v>
      </c>
      <c r="E22" t="s">
        <v>83</v>
      </c>
      <c r="F22" t="s">
        <v>156</v>
      </c>
      <c r="G22" t="s">
        <v>136</v>
      </c>
      <c r="H22" t="s">
        <v>137</v>
      </c>
      <c r="I22" t="s">
        <v>138</v>
      </c>
    </row>
    <row r="23" spans="1:9">
      <c r="A23" t="s">
        <v>2</v>
      </c>
      <c r="B23" t="s">
        <v>84</v>
      </c>
      <c r="C23" t="s">
        <v>134</v>
      </c>
      <c r="D23">
        <v>5</v>
      </c>
      <c r="E23" t="s">
        <v>85</v>
      </c>
      <c r="F23" t="s">
        <v>151</v>
      </c>
      <c r="G23" t="s">
        <v>136</v>
      </c>
      <c r="H23" t="s">
        <v>137</v>
      </c>
      <c r="I23" t="s">
        <v>138</v>
      </c>
    </row>
    <row r="24" spans="1:9">
      <c r="A24" t="s">
        <v>2</v>
      </c>
      <c r="B24" t="s">
        <v>86</v>
      </c>
      <c r="C24" t="s">
        <v>134</v>
      </c>
      <c r="D24">
        <v>7</v>
      </c>
      <c r="E24" t="s">
        <v>23</v>
      </c>
      <c r="F24" t="s">
        <v>146</v>
      </c>
      <c r="G24" t="s">
        <v>136</v>
      </c>
      <c r="H24" t="s">
        <v>137</v>
      </c>
      <c r="I24" t="s">
        <v>138</v>
      </c>
    </row>
    <row r="25" spans="1:9">
      <c r="A25" t="s">
        <v>2</v>
      </c>
      <c r="B25" t="s">
        <v>90</v>
      </c>
      <c r="C25" t="s">
        <v>134</v>
      </c>
      <c r="D25">
        <v>7</v>
      </c>
      <c r="E25" t="s">
        <v>91</v>
      </c>
      <c r="F25" t="s">
        <v>157</v>
      </c>
      <c r="G25" t="s">
        <v>136</v>
      </c>
      <c r="H25" t="s">
        <v>137</v>
      </c>
      <c r="I25" t="s">
        <v>138</v>
      </c>
    </row>
    <row r="26" spans="1:9">
      <c r="A26" t="s">
        <v>2</v>
      </c>
      <c r="B26" t="s">
        <v>92</v>
      </c>
      <c r="C26" t="s">
        <v>134</v>
      </c>
      <c r="D26">
        <v>7</v>
      </c>
      <c r="E26" t="s">
        <v>158</v>
      </c>
      <c r="F26" t="s">
        <v>143</v>
      </c>
      <c r="G26" t="s">
        <v>136</v>
      </c>
      <c r="H26" t="s">
        <v>137</v>
      </c>
      <c r="I26" t="s">
        <v>138</v>
      </c>
    </row>
    <row r="27" spans="1:9">
      <c r="A27" t="s">
        <v>2</v>
      </c>
      <c r="B27" t="s">
        <v>94</v>
      </c>
      <c r="C27" t="s">
        <v>134</v>
      </c>
      <c r="D27">
        <v>7</v>
      </c>
      <c r="E27" t="s">
        <v>159</v>
      </c>
      <c r="F27" t="s">
        <v>143</v>
      </c>
      <c r="G27" t="s">
        <v>136</v>
      </c>
      <c r="H27" t="s">
        <v>137</v>
      </c>
      <c r="I27" t="s">
        <v>138</v>
      </c>
    </row>
    <row r="28" spans="1:9">
      <c r="A28" t="s">
        <v>2</v>
      </c>
      <c r="B28" t="s">
        <v>96</v>
      </c>
      <c r="C28" t="s">
        <v>134</v>
      </c>
      <c r="D28">
        <v>7</v>
      </c>
      <c r="E28" t="s">
        <v>160</v>
      </c>
      <c r="F28" t="s">
        <v>157</v>
      </c>
      <c r="G28" t="s">
        <v>136</v>
      </c>
      <c r="H28" t="s">
        <v>137</v>
      </c>
      <c r="I28" t="s">
        <v>138</v>
      </c>
    </row>
    <row r="29" spans="1:9">
      <c r="A29" t="s">
        <v>2</v>
      </c>
      <c r="B29" t="s">
        <v>100</v>
      </c>
      <c r="C29" t="s">
        <v>134</v>
      </c>
      <c r="D29">
        <v>7</v>
      </c>
      <c r="E29" t="s">
        <v>101</v>
      </c>
      <c r="F29" t="s">
        <v>146</v>
      </c>
      <c r="G29" t="s">
        <v>136</v>
      </c>
      <c r="H29" t="s">
        <v>137</v>
      </c>
      <c r="I29" t="s">
        <v>138</v>
      </c>
    </row>
    <row r="30" spans="1:9">
      <c r="A30" t="s">
        <v>2</v>
      </c>
      <c r="B30" t="s">
        <v>102</v>
      </c>
      <c r="C30" t="s">
        <v>134</v>
      </c>
      <c r="D30">
        <v>7</v>
      </c>
      <c r="E30" t="s">
        <v>161</v>
      </c>
      <c r="F30" t="s">
        <v>162</v>
      </c>
      <c r="G30" t="s">
        <v>136</v>
      </c>
      <c r="H30" t="s">
        <v>137</v>
      </c>
      <c r="I30" t="s">
        <v>138</v>
      </c>
    </row>
    <row r="31" spans="1:9">
      <c r="A31" t="s">
        <v>2</v>
      </c>
      <c r="B31" t="s">
        <v>106</v>
      </c>
      <c r="C31" t="s">
        <v>134</v>
      </c>
      <c r="D31">
        <v>7</v>
      </c>
      <c r="E31" t="s">
        <v>107</v>
      </c>
      <c r="F31" t="s">
        <v>162</v>
      </c>
      <c r="G31" t="s">
        <v>136</v>
      </c>
      <c r="H31" t="s">
        <v>137</v>
      </c>
      <c r="I31" t="s">
        <v>138</v>
      </c>
    </row>
    <row r="32" spans="1:9">
      <c r="A32" t="s">
        <v>2</v>
      </c>
      <c r="B32" t="s">
        <v>114</v>
      </c>
      <c r="C32" t="s">
        <v>134</v>
      </c>
      <c r="D32">
        <v>7</v>
      </c>
      <c r="E32" t="s">
        <v>115</v>
      </c>
      <c r="F32" t="s">
        <v>157</v>
      </c>
      <c r="G32" t="s">
        <v>136</v>
      </c>
      <c r="H32" t="s">
        <v>137</v>
      </c>
      <c r="I32" t="s">
        <v>138</v>
      </c>
    </row>
    <row r="33" spans="1:9">
      <c r="A33" t="s">
        <v>2</v>
      </c>
      <c r="B33" t="s">
        <v>118</v>
      </c>
      <c r="C33" t="s">
        <v>134</v>
      </c>
      <c r="D33">
        <v>7</v>
      </c>
      <c r="E33" t="s">
        <v>119</v>
      </c>
      <c r="F33" t="s">
        <v>163</v>
      </c>
      <c r="G33" t="s">
        <v>136</v>
      </c>
      <c r="H33" t="s">
        <v>137</v>
      </c>
      <c r="I33" t="s">
        <v>138</v>
      </c>
    </row>
    <row r="34" spans="1:9">
      <c r="A34" t="s">
        <v>3</v>
      </c>
      <c r="B34" t="s">
        <v>4</v>
      </c>
      <c r="C34" t="s">
        <v>134</v>
      </c>
      <c r="D34">
        <v>3</v>
      </c>
      <c r="E34" t="s">
        <v>5</v>
      </c>
      <c r="F34" t="s">
        <v>164</v>
      </c>
      <c r="G34" t="s">
        <v>136</v>
      </c>
      <c r="H34" t="s">
        <v>137</v>
      </c>
      <c r="I34" t="s">
        <v>138</v>
      </c>
    </row>
    <row r="35" spans="1:9">
      <c r="A35" t="s">
        <v>3</v>
      </c>
      <c r="B35" t="s">
        <v>6</v>
      </c>
      <c r="C35" t="s">
        <v>134</v>
      </c>
      <c r="D35">
        <v>3</v>
      </c>
      <c r="E35" t="s">
        <v>7</v>
      </c>
      <c r="F35" t="s">
        <v>165</v>
      </c>
      <c r="G35" t="s">
        <v>136</v>
      </c>
      <c r="H35" t="s">
        <v>137</v>
      </c>
      <c r="I35" t="s">
        <v>138</v>
      </c>
    </row>
    <row r="36" spans="1:9">
      <c r="A36" t="s">
        <v>3</v>
      </c>
      <c r="B36" t="s">
        <v>8</v>
      </c>
      <c r="C36" t="s">
        <v>134</v>
      </c>
      <c r="D36">
        <v>3</v>
      </c>
      <c r="E36" t="s">
        <v>9</v>
      </c>
      <c r="F36" t="s">
        <v>154</v>
      </c>
      <c r="G36" t="s">
        <v>136</v>
      </c>
      <c r="H36" t="s">
        <v>137</v>
      </c>
      <c r="I36" t="s">
        <v>138</v>
      </c>
    </row>
    <row r="37" spans="1:9">
      <c r="A37" t="s">
        <v>3</v>
      </c>
      <c r="B37" t="s">
        <v>10</v>
      </c>
      <c r="C37" t="s">
        <v>134</v>
      </c>
      <c r="D37">
        <v>3</v>
      </c>
      <c r="E37" t="s">
        <v>11</v>
      </c>
      <c r="F37" t="s">
        <v>166</v>
      </c>
      <c r="G37" t="s">
        <v>136</v>
      </c>
      <c r="H37" t="s">
        <v>137</v>
      </c>
      <c r="I37" t="s">
        <v>138</v>
      </c>
    </row>
    <row r="38" spans="1:9">
      <c r="A38" t="s">
        <v>3</v>
      </c>
      <c r="B38" t="s">
        <v>12</v>
      </c>
      <c r="C38" t="s">
        <v>134</v>
      </c>
      <c r="D38">
        <v>3</v>
      </c>
      <c r="E38" t="s">
        <v>13</v>
      </c>
      <c r="F38" t="s">
        <v>149</v>
      </c>
      <c r="G38" t="s">
        <v>136</v>
      </c>
      <c r="H38" t="s">
        <v>137</v>
      </c>
      <c r="I38" t="s">
        <v>138</v>
      </c>
    </row>
    <row r="39" spans="1:9">
      <c r="A39" t="s">
        <v>3</v>
      </c>
      <c r="B39" t="s">
        <v>14</v>
      </c>
      <c r="C39" t="s">
        <v>134</v>
      </c>
      <c r="D39">
        <v>3</v>
      </c>
      <c r="E39" t="s">
        <v>15</v>
      </c>
      <c r="F39" t="s">
        <v>143</v>
      </c>
      <c r="G39" t="s">
        <v>136</v>
      </c>
      <c r="H39" t="s">
        <v>137</v>
      </c>
      <c r="I39" t="s">
        <v>138</v>
      </c>
    </row>
    <row r="40" spans="1:9">
      <c r="A40" t="s">
        <v>3</v>
      </c>
      <c r="B40" t="s">
        <v>16</v>
      </c>
      <c r="C40" t="s">
        <v>134</v>
      </c>
      <c r="D40">
        <v>3</v>
      </c>
      <c r="E40" t="s">
        <v>17</v>
      </c>
      <c r="F40" t="s">
        <v>146</v>
      </c>
      <c r="G40" t="s">
        <v>136</v>
      </c>
      <c r="H40" t="s">
        <v>137</v>
      </c>
      <c r="I40" t="s">
        <v>138</v>
      </c>
    </row>
    <row r="41" spans="1:9">
      <c r="A41" t="s">
        <v>3</v>
      </c>
      <c r="B41" t="s">
        <v>18</v>
      </c>
      <c r="C41" t="s">
        <v>134</v>
      </c>
      <c r="D41">
        <v>3</v>
      </c>
      <c r="E41" t="s">
        <v>19</v>
      </c>
      <c r="F41" t="s">
        <v>167</v>
      </c>
      <c r="G41" t="s">
        <v>136</v>
      </c>
      <c r="H41" t="s">
        <v>137</v>
      </c>
      <c r="I41" t="s">
        <v>138</v>
      </c>
    </row>
    <row r="42" spans="1:9">
      <c r="A42" t="s">
        <v>3</v>
      </c>
      <c r="B42" t="s">
        <v>22</v>
      </c>
      <c r="C42" t="s">
        <v>134</v>
      </c>
      <c r="D42">
        <v>3</v>
      </c>
      <c r="E42" t="s">
        <v>23</v>
      </c>
      <c r="F42" t="s">
        <v>168</v>
      </c>
      <c r="G42" t="s">
        <v>136</v>
      </c>
      <c r="H42" t="s">
        <v>137</v>
      </c>
      <c r="I42" t="s">
        <v>138</v>
      </c>
    </row>
    <row r="43" spans="1:9">
      <c r="A43" t="s">
        <v>3</v>
      </c>
      <c r="B43" t="s">
        <v>40</v>
      </c>
      <c r="C43" t="s">
        <v>134</v>
      </c>
      <c r="D43">
        <v>5</v>
      </c>
      <c r="E43" t="s">
        <v>41</v>
      </c>
      <c r="F43" t="s">
        <v>149</v>
      </c>
      <c r="G43" t="s">
        <v>136</v>
      </c>
      <c r="H43" t="s">
        <v>137</v>
      </c>
      <c r="I43" t="s">
        <v>138</v>
      </c>
    </row>
    <row r="44" spans="1:9">
      <c r="A44" t="s">
        <v>3</v>
      </c>
      <c r="B44" t="s">
        <v>42</v>
      </c>
      <c r="C44" t="s">
        <v>134</v>
      </c>
      <c r="D44">
        <v>5</v>
      </c>
      <c r="E44" t="s">
        <v>148</v>
      </c>
      <c r="F44" t="s">
        <v>146</v>
      </c>
      <c r="G44" t="s">
        <v>136</v>
      </c>
      <c r="H44" t="s">
        <v>137</v>
      </c>
      <c r="I44" t="s">
        <v>138</v>
      </c>
    </row>
    <row r="45" spans="1:9">
      <c r="A45" t="s">
        <v>3</v>
      </c>
      <c r="B45" t="s">
        <v>44</v>
      </c>
      <c r="C45" t="s">
        <v>134</v>
      </c>
      <c r="D45">
        <v>5</v>
      </c>
      <c r="E45" t="s">
        <v>45</v>
      </c>
      <c r="F45" t="s">
        <v>169</v>
      </c>
      <c r="G45" t="s">
        <v>136</v>
      </c>
      <c r="H45" t="s">
        <v>137</v>
      </c>
      <c r="I45" t="s">
        <v>138</v>
      </c>
    </row>
    <row r="46" spans="1:9">
      <c r="A46" t="s">
        <v>3</v>
      </c>
      <c r="B46" t="s">
        <v>48</v>
      </c>
      <c r="C46" t="s">
        <v>134</v>
      </c>
      <c r="D46">
        <v>5</v>
      </c>
      <c r="E46" t="s">
        <v>49</v>
      </c>
      <c r="F46" t="s">
        <v>150</v>
      </c>
      <c r="G46" t="s">
        <v>136</v>
      </c>
      <c r="H46" t="s">
        <v>137</v>
      </c>
      <c r="I46" t="s">
        <v>138</v>
      </c>
    </row>
    <row r="47" spans="1:9">
      <c r="A47" t="s">
        <v>3</v>
      </c>
      <c r="B47" t="s">
        <v>50</v>
      </c>
      <c r="C47" t="s">
        <v>134</v>
      </c>
      <c r="D47">
        <v>5</v>
      </c>
      <c r="E47" t="s">
        <v>51</v>
      </c>
      <c r="F47" t="s">
        <v>155</v>
      </c>
      <c r="G47" t="s">
        <v>136</v>
      </c>
      <c r="H47" t="s">
        <v>137</v>
      </c>
      <c r="I47" t="s">
        <v>138</v>
      </c>
    </row>
    <row r="48" spans="1:9">
      <c r="A48" t="s">
        <v>3</v>
      </c>
      <c r="B48" t="s">
        <v>58</v>
      </c>
      <c r="C48" t="s">
        <v>134</v>
      </c>
      <c r="D48">
        <v>5</v>
      </c>
      <c r="E48" t="s">
        <v>59</v>
      </c>
      <c r="F48" t="s">
        <v>170</v>
      </c>
      <c r="G48" t="s">
        <v>136</v>
      </c>
      <c r="H48" t="s">
        <v>137</v>
      </c>
      <c r="I48" t="s">
        <v>138</v>
      </c>
    </row>
    <row r="49" spans="1:9">
      <c r="A49" t="s">
        <v>3</v>
      </c>
      <c r="B49" t="s">
        <v>60</v>
      </c>
      <c r="C49" t="s">
        <v>134</v>
      </c>
      <c r="D49">
        <v>5</v>
      </c>
      <c r="E49" t="s">
        <v>152</v>
      </c>
      <c r="F49" t="s">
        <v>149</v>
      </c>
      <c r="G49" t="s">
        <v>136</v>
      </c>
      <c r="H49" t="s">
        <v>137</v>
      </c>
      <c r="I49" t="s">
        <v>138</v>
      </c>
    </row>
    <row r="50" spans="1:9">
      <c r="A50" t="s">
        <v>3</v>
      </c>
      <c r="B50" t="s">
        <v>62</v>
      </c>
      <c r="C50" t="s">
        <v>134</v>
      </c>
      <c r="D50">
        <v>5</v>
      </c>
      <c r="E50" t="s">
        <v>63</v>
      </c>
      <c r="F50" t="s">
        <v>147</v>
      </c>
      <c r="G50" t="s">
        <v>136</v>
      </c>
      <c r="H50" t="s">
        <v>137</v>
      </c>
      <c r="I50" t="s">
        <v>138</v>
      </c>
    </row>
    <row r="51" spans="1:9">
      <c r="A51" t="s">
        <v>3</v>
      </c>
      <c r="B51" t="s">
        <v>70</v>
      </c>
      <c r="C51" t="s">
        <v>134</v>
      </c>
      <c r="D51">
        <v>5</v>
      </c>
      <c r="E51" t="s">
        <v>71</v>
      </c>
      <c r="F51" t="s">
        <v>150</v>
      </c>
      <c r="G51" t="s">
        <v>136</v>
      </c>
      <c r="H51" t="s">
        <v>137</v>
      </c>
      <c r="I51" t="s">
        <v>138</v>
      </c>
    </row>
    <row r="52" spans="1:9">
      <c r="A52" t="s">
        <v>3</v>
      </c>
      <c r="B52" t="s">
        <v>72</v>
      </c>
      <c r="C52" t="s">
        <v>134</v>
      </c>
      <c r="D52">
        <v>5</v>
      </c>
      <c r="E52" t="s">
        <v>73</v>
      </c>
      <c r="F52" t="s">
        <v>146</v>
      </c>
      <c r="G52" t="s">
        <v>136</v>
      </c>
      <c r="H52" t="s">
        <v>137</v>
      </c>
      <c r="I52" t="s">
        <v>138</v>
      </c>
    </row>
    <row r="53" spans="1:9">
      <c r="A53" t="s">
        <v>3</v>
      </c>
      <c r="B53" t="s">
        <v>74</v>
      </c>
      <c r="C53" t="s">
        <v>134</v>
      </c>
      <c r="D53">
        <v>5</v>
      </c>
      <c r="E53" t="s">
        <v>75</v>
      </c>
      <c r="F53" t="s">
        <v>142</v>
      </c>
      <c r="G53" t="s">
        <v>136</v>
      </c>
      <c r="H53" t="s">
        <v>137</v>
      </c>
      <c r="I53" t="s">
        <v>138</v>
      </c>
    </row>
    <row r="54" spans="1:9">
      <c r="A54" t="s">
        <v>3</v>
      </c>
      <c r="B54" t="s">
        <v>82</v>
      </c>
      <c r="C54" t="s">
        <v>134</v>
      </c>
      <c r="D54">
        <v>5</v>
      </c>
      <c r="E54" t="s">
        <v>83</v>
      </c>
      <c r="F54" t="s">
        <v>155</v>
      </c>
      <c r="G54" t="s">
        <v>136</v>
      </c>
      <c r="H54" t="s">
        <v>137</v>
      </c>
      <c r="I54" t="s">
        <v>138</v>
      </c>
    </row>
    <row r="55" spans="1:9">
      <c r="A55" t="s">
        <v>3</v>
      </c>
      <c r="B55" t="s">
        <v>84</v>
      </c>
      <c r="C55" t="s">
        <v>134</v>
      </c>
      <c r="D55">
        <v>5</v>
      </c>
      <c r="E55" t="s">
        <v>85</v>
      </c>
      <c r="F55" t="s">
        <v>170</v>
      </c>
      <c r="G55" t="s">
        <v>136</v>
      </c>
      <c r="H55" t="s">
        <v>137</v>
      </c>
      <c r="I55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2" width="22.7109375" customWidth="1"/>
    <col min="3" max="6" width="14.7109375" customWidth="1"/>
    <col min="7" max="7" width="60.7109375" customWidth="1"/>
  </cols>
  <sheetData>
    <row r="1" spans="1:7">
      <c r="A1" s="1" t="s">
        <v>171</v>
      </c>
      <c r="B1" s="4">
        <v>2</v>
      </c>
    </row>
    <row r="3" spans="1:7">
      <c r="A3" s="2" t="s">
        <v>172</v>
      </c>
      <c r="B3" s="2" t="s">
        <v>126</v>
      </c>
      <c r="C3" s="2" t="s">
        <v>173</v>
      </c>
      <c r="D3" s="2" t="s">
        <v>174</v>
      </c>
      <c r="E3" s="2" t="s">
        <v>175</v>
      </c>
      <c r="F3" s="2" t="s">
        <v>176</v>
      </c>
      <c r="G3" s="2" t="s">
        <v>177</v>
      </c>
    </row>
    <row r="4" spans="1:7">
      <c r="A4" t="s">
        <v>178</v>
      </c>
      <c r="B4" t="s">
        <v>2</v>
      </c>
      <c r="C4" s="3">
        <v>3500</v>
      </c>
      <c r="D4" s="3">
        <v>3500</v>
      </c>
      <c r="E4" s="3">
        <f>D4-C4</f>
        <v>0.0</v>
      </c>
      <c r="F4" t="str">
        <f>IF(ABS(E4)&lt;=$B$1,"OK","CHECK")</f>
        <v>OK</v>
      </c>
      <c r="G4" t="s">
        <v>179</v>
      </c>
    </row>
    <row r="5" spans="1:7">
      <c r="A5" t="s">
        <v>178</v>
      </c>
      <c r="B5" t="s">
        <v>3</v>
      </c>
      <c r="C5" s="3">
        <v>2800</v>
      </c>
      <c r="D5" s="3">
        <v>2800</v>
      </c>
      <c r="E5" s="3">
        <f>D5-C5</f>
        <v>0.0</v>
      </c>
      <c r="F5" t="str">
        <f>IF(ABS(E5)&lt;=$B$1,"OK","CHECK")</f>
        <v>OK</v>
      </c>
      <c r="G5" t="s">
        <v>180</v>
      </c>
    </row>
    <row r="6" spans="1:7">
      <c r="A6" t="s">
        <v>181</v>
      </c>
      <c r="B6" t="s">
        <v>2</v>
      </c>
      <c r="C6" s="3">
        <v>300</v>
      </c>
      <c r="D6" s="3">
        <v>300</v>
      </c>
      <c r="E6" s="3">
        <f>D6-C6</f>
        <v>0.0</v>
      </c>
      <c r="F6" t="str">
        <f>IF(ABS(E6)&lt;=$B$1,"OK","CHECK")</f>
        <v>OK</v>
      </c>
      <c r="G6" t="s">
        <v>182</v>
      </c>
    </row>
    <row r="7" spans="1:7">
      <c r="A7" t="s">
        <v>181</v>
      </c>
      <c r="B7" t="s">
        <v>3</v>
      </c>
      <c r="F7" t="s">
        <v>183</v>
      </c>
    </row>
    <row r="8" spans="1:7">
      <c r="A8" t="s">
        <v>184</v>
      </c>
      <c r="B8" t="s">
        <v>2</v>
      </c>
      <c r="C8" s="3">
        <v>1300</v>
      </c>
      <c r="D8" s="3">
        <v>1300</v>
      </c>
      <c r="E8" s="3">
        <f>D8-C8</f>
        <v>0.0</v>
      </c>
      <c r="F8" t="str">
        <f>IF(ABS(E8)&lt;=$B$1,"OK","CHECK")</f>
        <v>OK</v>
      </c>
      <c r="G8" t="s">
        <v>185</v>
      </c>
    </row>
    <row r="9" spans="1:7">
      <c r="A9" t="s">
        <v>184</v>
      </c>
      <c r="B9" t="s">
        <v>3</v>
      </c>
      <c r="F9" t="s">
        <v>183</v>
      </c>
    </row>
    <row r="10" spans="1:7">
      <c r="A10" t="s">
        <v>186</v>
      </c>
      <c r="B10" t="s">
        <v>2</v>
      </c>
      <c r="C10" s="3">
        <v>500</v>
      </c>
      <c r="D10" s="3">
        <v>500</v>
      </c>
      <c r="E10" s="3">
        <f>D10-C10</f>
        <v>0.0</v>
      </c>
      <c r="F10" t="str">
        <f>IF(ABS(E10)&lt;=$B$1,"OK","CHECK")</f>
        <v>OK</v>
      </c>
      <c r="G10" t="s">
        <v>187</v>
      </c>
    </row>
    <row r="11" spans="1:7">
      <c r="A11" t="s">
        <v>186</v>
      </c>
      <c r="B11" t="s">
        <v>3</v>
      </c>
      <c r="F11" t="s">
        <v>183</v>
      </c>
    </row>
    <row r="12" spans="1:7">
      <c r="A12" t="s">
        <v>188</v>
      </c>
      <c r="B12" t="s">
        <v>2</v>
      </c>
      <c r="C12" s="3">
        <v>2000</v>
      </c>
      <c r="D12" s="3">
        <v>2000</v>
      </c>
      <c r="E12" s="3">
        <f>D12-C12</f>
        <v>0.0</v>
      </c>
      <c r="F12" t="str">
        <f>IF(ABS(E12)&lt;=$B$1,"OK","CHECK")</f>
        <v>OK</v>
      </c>
      <c r="G12" t="s">
        <v>189</v>
      </c>
    </row>
    <row r="13" spans="1:7">
      <c r="A13" t="s">
        <v>188</v>
      </c>
      <c r="B13" t="s">
        <v>3</v>
      </c>
      <c r="C13" s="3">
        <v>1700</v>
      </c>
      <c r="D13" s="3">
        <v>1700</v>
      </c>
      <c r="E13" s="3">
        <f>D13-C13</f>
        <v>0.0</v>
      </c>
      <c r="F13" t="str">
        <f>IF(ABS(E13)&lt;=$B$1,"OK","CHECK")</f>
        <v>OK</v>
      </c>
      <c r="G13" t="s">
        <v>190</v>
      </c>
    </row>
    <row r="14" spans="1:7">
      <c r="A14" t="s">
        <v>191</v>
      </c>
      <c r="B14" t="s">
        <v>2</v>
      </c>
      <c r="C14" s="3">
        <v>500</v>
      </c>
      <c r="D14" s="3">
        <v>500</v>
      </c>
      <c r="E14" s="3">
        <f>D14-C14</f>
        <v>0.0</v>
      </c>
      <c r="F14" t="str">
        <f>IF(ABS(E14)&lt;=$B$1,"OK","CHECK")</f>
        <v>OK</v>
      </c>
      <c r="G14" t="s">
        <v>192</v>
      </c>
    </row>
    <row r="15" spans="1:7">
      <c r="A15" t="s">
        <v>191</v>
      </c>
      <c r="B15" t="s">
        <v>3</v>
      </c>
      <c r="C15" s="3">
        <v>350</v>
      </c>
      <c r="D15" s="3">
        <v>350</v>
      </c>
      <c r="E15" s="3">
        <f>D15-C15</f>
        <v>0.0</v>
      </c>
      <c r="F15" t="str">
        <f>IF(ABS(E15)&lt;=$B$1,"OK","CHECK")</f>
        <v>OK</v>
      </c>
      <c r="G15" t="s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</cols>
  <sheetData>
    <row r="1" spans="1:3">
      <c r="A1" s="2" t="s">
        <v>211</v>
      </c>
      <c r="B1" s="2" t="s">
        <v>212</v>
      </c>
      <c r="C1" s="2" t="s">
        <v>213</v>
      </c>
    </row>
    <row r="2" spans="1:3">
      <c r="A2" t="s">
        <v>214</v>
      </c>
      <c r="B2" t="s">
        <v>215</v>
      </c>
      <c r="C2" t="s">
        <v>216</v>
      </c>
    </row>
    <row r="3" spans="1:3">
      <c r="A3" t="s">
        <v>214</v>
      </c>
      <c r="B3" t="s">
        <v>217</v>
      </c>
      <c r="C3" t="s">
        <v>216</v>
      </c>
    </row>
    <row r="4" spans="1:3">
      <c r="A4" t="s">
        <v>214</v>
      </c>
      <c r="B4" t="s">
        <v>218</v>
      </c>
      <c r="C4" t="s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2" t="s">
        <v>220</v>
      </c>
      <c r="B1" s="2" t="s">
        <v>221</v>
      </c>
      <c r="C1" s="2" t="s">
        <v>222</v>
      </c>
      <c r="D1" s="2" t="s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5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24.7109375" customWidth="1"/>
    <col min="8" max="11" width="24.7109375" style="4" customWidth="1"/>
  </cols>
  <sheetData>
    <row r="1" spans="1:11">
      <c r="A1" s="2" t="s">
        <v>126</v>
      </c>
      <c r="B1" s="2" t="s">
        <v>224</v>
      </c>
      <c r="C1" s="2" t="s">
        <v>129</v>
      </c>
      <c r="D1" s="2" t="s">
        <v>225</v>
      </c>
      <c r="E1" s="2" t="s">
        <v>226</v>
      </c>
      <c r="F1" s="2" t="s">
        <v>227</v>
      </c>
      <c r="G1" s="2" t="s">
        <v>228</v>
      </c>
      <c r="H1" s="2" t="s">
        <v>229</v>
      </c>
      <c r="I1" s="2" t="s">
        <v>230</v>
      </c>
      <c r="J1" s="2" t="s">
        <v>220</v>
      </c>
      <c r="K1" s="2" t="s">
        <v>223</v>
      </c>
    </row>
    <row r="2" spans="1:11">
      <c r="A2" t="s">
        <v>2</v>
      </c>
      <c r="B2" t="s">
        <v>231</v>
      </c>
      <c r="C2" t="s">
        <v>5</v>
      </c>
      <c r="D2" t="s">
        <v>4</v>
      </c>
      <c r="E2">
        <v>1</v>
      </c>
      <c r="F2" t="s">
        <v>138</v>
      </c>
      <c r="G2" t="s">
        <v>232</v>
      </c>
    </row>
    <row r="3" spans="1:11">
      <c r="A3" t="s">
        <v>3</v>
      </c>
      <c r="B3" t="s">
        <v>233</v>
      </c>
      <c r="C3" t="s">
        <v>5</v>
      </c>
      <c r="D3" t="s">
        <v>4</v>
      </c>
      <c r="E3">
        <v>1</v>
      </c>
      <c r="F3" t="s">
        <v>138</v>
      </c>
      <c r="G3" t="s">
        <v>232</v>
      </c>
    </row>
    <row r="4" spans="1:11">
      <c r="A4" t="s">
        <v>2</v>
      </c>
      <c r="B4" t="s">
        <v>234</v>
      </c>
      <c r="C4" t="s">
        <v>7</v>
      </c>
      <c r="D4" t="s">
        <v>6</v>
      </c>
      <c r="E4">
        <v>1</v>
      </c>
      <c r="F4" t="s">
        <v>138</v>
      </c>
      <c r="G4" t="s">
        <v>235</v>
      </c>
    </row>
    <row r="5" spans="1:11">
      <c r="A5" t="s">
        <v>3</v>
      </c>
      <c r="B5" t="s">
        <v>236</v>
      </c>
      <c r="C5" t="s">
        <v>7</v>
      </c>
      <c r="D5" t="s">
        <v>6</v>
      </c>
      <c r="E5">
        <v>1</v>
      </c>
      <c r="F5" t="s">
        <v>138</v>
      </c>
      <c r="G5" t="s">
        <v>235</v>
      </c>
    </row>
    <row r="6" spans="1:11">
      <c r="A6" t="s">
        <v>2</v>
      </c>
      <c r="B6" t="s">
        <v>237</v>
      </c>
      <c r="C6" t="s">
        <v>9</v>
      </c>
      <c r="D6" t="s">
        <v>8</v>
      </c>
      <c r="E6">
        <v>1</v>
      </c>
      <c r="F6" t="s">
        <v>138</v>
      </c>
      <c r="G6" t="s">
        <v>238</v>
      </c>
    </row>
    <row r="7" spans="1:11">
      <c r="A7" t="s">
        <v>3</v>
      </c>
      <c r="B7" t="s">
        <v>239</v>
      </c>
      <c r="C7" t="s">
        <v>9</v>
      </c>
      <c r="D7" t="s">
        <v>8</v>
      </c>
      <c r="E7">
        <v>1</v>
      </c>
      <c r="F7" t="s">
        <v>138</v>
      </c>
      <c r="G7" t="s">
        <v>238</v>
      </c>
    </row>
    <row r="8" spans="1:11">
      <c r="A8" t="s">
        <v>2</v>
      </c>
      <c r="B8" t="s">
        <v>240</v>
      </c>
      <c r="C8" t="s">
        <v>11</v>
      </c>
      <c r="D8" t="s">
        <v>10</v>
      </c>
      <c r="E8">
        <v>1</v>
      </c>
      <c r="F8" t="s">
        <v>138</v>
      </c>
      <c r="G8" t="s">
        <v>241</v>
      </c>
    </row>
    <row r="9" spans="1:11">
      <c r="A9" t="s">
        <v>3</v>
      </c>
      <c r="B9" t="s">
        <v>242</v>
      </c>
      <c r="C9" t="s">
        <v>11</v>
      </c>
      <c r="D9" t="s">
        <v>10</v>
      </c>
      <c r="E9">
        <v>1</v>
      </c>
      <c r="F9" t="s">
        <v>138</v>
      </c>
      <c r="G9" t="s">
        <v>241</v>
      </c>
    </row>
    <row r="10" spans="1:11">
      <c r="A10" t="s">
        <v>2</v>
      </c>
      <c r="B10" t="s">
        <v>243</v>
      </c>
      <c r="C10" t="s">
        <v>13</v>
      </c>
      <c r="D10" t="s">
        <v>12</v>
      </c>
      <c r="E10">
        <v>1</v>
      </c>
      <c r="F10" t="s">
        <v>138</v>
      </c>
      <c r="G10" t="s">
        <v>244</v>
      </c>
    </row>
    <row r="11" spans="1:11">
      <c r="A11" t="s">
        <v>3</v>
      </c>
      <c r="B11" t="s">
        <v>245</v>
      </c>
      <c r="C11" t="s">
        <v>13</v>
      </c>
      <c r="D11" t="s">
        <v>12</v>
      </c>
      <c r="E11">
        <v>1</v>
      </c>
      <c r="F11" t="s">
        <v>138</v>
      </c>
      <c r="G11" t="s">
        <v>244</v>
      </c>
    </row>
    <row r="12" spans="1:11">
      <c r="A12" t="s">
        <v>2</v>
      </c>
      <c r="B12" t="s">
        <v>246</v>
      </c>
      <c r="C12" t="s">
        <v>15</v>
      </c>
      <c r="D12" t="s">
        <v>14</v>
      </c>
      <c r="E12">
        <v>1</v>
      </c>
      <c r="F12" t="s">
        <v>138</v>
      </c>
      <c r="G12" t="s">
        <v>247</v>
      </c>
    </row>
    <row r="13" spans="1:11">
      <c r="A13" t="s">
        <v>3</v>
      </c>
      <c r="B13" t="s">
        <v>248</v>
      </c>
      <c r="C13" t="s">
        <v>15</v>
      </c>
      <c r="D13" t="s">
        <v>14</v>
      </c>
      <c r="E13">
        <v>1</v>
      </c>
      <c r="F13" t="s">
        <v>138</v>
      </c>
      <c r="G13" t="s">
        <v>247</v>
      </c>
    </row>
    <row r="14" spans="1:11">
      <c r="A14" t="s">
        <v>2</v>
      </c>
      <c r="B14" t="s">
        <v>249</v>
      </c>
      <c r="C14" t="s">
        <v>17</v>
      </c>
      <c r="D14" t="s">
        <v>16</v>
      </c>
      <c r="E14">
        <v>1</v>
      </c>
      <c r="F14" t="s">
        <v>138</v>
      </c>
      <c r="G14" t="s">
        <v>250</v>
      </c>
    </row>
    <row r="15" spans="1:11">
      <c r="A15" t="s">
        <v>3</v>
      </c>
      <c r="B15" t="s">
        <v>251</v>
      </c>
      <c r="C15" t="s">
        <v>17</v>
      </c>
      <c r="D15" t="s">
        <v>16</v>
      </c>
      <c r="E15">
        <v>1</v>
      </c>
      <c r="F15" t="s">
        <v>138</v>
      </c>
      <c r="G15" t="s">
        <v>250</v>
      </c>
    </row>
    <row r="16" spans="1:11">
      <c r="A16" t="s">
        <v>2</v>
      </c>
      <c r="B16" t="s">
        <v>252</v>
      </c>
      <c r="C16" t="s">
        <v>19</v>
      </c>
      <c r="D16" t="s">
        <v>18</v>
      </c>
      <c r="E16">
        <v>1</v>
      </c>
      <c r="F16" t="s">
        <v>138</v>
      </c>
      <c r="G16" t="s">
        <v>253</v>
      </c>
    </row>
    <row r="17" spans="1:7">
      <c r="A17" t="s">
        <v>3</v>
      </c>
      <c r="B17" t="s">
        <v>254</v>
      </c>
      <c r="C17" t="s">
        <v>19</v>
      </c>
      <c r="D17" t="s">
        <v>18</v>
      </c>
      <c r="E17">
        <v>1</v>
      </c>
      <c r="F17" t="s">
        <v>138</v>
      </c>
      <c r="G17" t="s">
        <v>253</v>
      </c>
    </row>
    <row r="18" spans="1:7">
      <c r="A18" t="s">
        <v>2</v>
      </c>
      <c r="B18" t="s">
        <v>255</v>
      </c>
      <c r="C18" t="s">
        <v>23</v>
      </c>
      <c r="D18" t="s">
        <v>22</v>
      </c>
      <c r="E18">
        <v>1</v>
      </c>
      <c r="F18" t="s">
        <v>138</v>
      </c>
      <c r="G18" t="s">
        <v>256</v>
      </c>
    </row>
    <row r="19" spans="1:7">
      <c r="A19" t="s">
        <v>3</v>
      </c>
      <c r="B19" t="s">
        <v>257</v>
      </c>
      <c r="C19" t="s">
        <v>23</v>
      </c>
      <c r="D19" t="s">
        <v>22</v>
      </c>
      <c r="E19">
        <v>1</v>
      </c>
      <c r="F19" t="s">
        <v>138</v>
      </c>
      <c r="G19" t="s">
        <v>256</v>
      </c>
    </row>
    <row r="20" spans="1:7">
      <c r="A20" t="s">
        <v>2</v>
      </c>
      <c r="B20" t="s">
        <v>258</v>
      </c>
      <c r="C20" t="s">
        <v>41</v>
      </c>
      <c r="D20" t="s">
        <v>40</v>
      </c>
      <c r="E20">
        <v>1</v>
      </c>
      <c r="F20" t="s">
        <v>138</v>
      </c>
      <c r="G20" t="s">
        <v>259</v>
      </c>
    </row>
    <row r="21" spans="1:7">
      <c r="A21" t="s">
        <v>3</v>
      </c>
      <c r="B21" t="s">
        <v>260</v>
      </c>
      <c r="C21" t="s">
        <v>41</v>
      </c>
      <c r="D21" t="s">
        <v>40</v>
      </c>
      <c r="E21">
        <v>1</v>
      </c>
      <c r="F21" t="s">
        <v>138</v>
      </c>
      <c r="G21" t="s">
        <v>259</v>
      </c>
    </row>
    <row r="22" spans="1:7">
      <c r="A22" t="s">
        <v>2</v>
      </c>
      <c r="B22" t="s">
        <v>261</v>
      </c>
      <c r="C22" t="s">
        <v>148</v>
      </c>
      <c r="D22" t="s">
        <v>42</v>
      </c>
      <c r="E22">
        <v>1</v>
      </c>
      <c r="F22" t="s">
        <v>138</v>
      </c>
      <c r="G22" t="s">
        <v>262</v>
      </c>
    </row>
    <row r="23" spans="1:7">
      <c r="A23" t="s">
        <v>3</v>
      </c>
      <c r="B23" t="s">
        <v>263</v>
      </c>
      <c r="C23" t="s">
        <v>148</v>
      </c>
      <c r="D23" t="s">
        <v>42</v>
      </c>
      <c r="E23">
        <v>1</v>
      </c>
      <c r="F23" t="s">
        <v>138</v>
      </c>
      <c r="G23" t="s">
        <v>262</v>
      </c>
    </row>
    <row r="24" spans="1:7">
      <c r="A24" t="s">
        <v>2</v>
      </c>
      <c r="B24" t="s">
        <v>264</v>
      </c>
      <c r="C24" t="s">
        <v>45</v>
      </c>
      <c r="D24" t="s">
        <v>44</v>
      </c>
      <c r="E24">
        <v>1</v>
      </c>
      <c r="F24" t="s">
        <v>138</v>
      </c>
      <c r="G24" t="s">
        <v>265</v>
      </c>
    </row>
    <row r="25" spans="1:7">
      <c r="A25" t="s">
        <v>3</v>
      </c>
      <c r="B25" t="s">
        <v>266</v>
      </c>
      <c r="C25" t="s">
        <v>45</v>
      </c>
      <c r="D25" t="s">
        <v>44</v>
      </c>
      <c r="E25">
        <v>1</v>
      </c>
      <c r="F25" t="s">
        <v>138</v>
      </c>
      <c r="G25" t="s">
        <v>265</v>
      </c>
    </row>
    <row r="26" spans="1:7">
      <c r="A26" t="s">
        <v>2</v>
      </c>
      <c r="B26" t="s">
        <v>267</v>
      </c>
      <c r="C26" t="s">
        <v>49</v>
      </c>
      <c r="D26" t="s">
        <v>48</v>
      </c>
      <c r="E26">
        <v>1</v>
      </c>
      <c r="F26" t="s">
        <v>138</v>
      </c>
      <c r="G26" t="s">
        <v>268</v>
      </c>
    </row>
    <row r="27" spans="1:7">
      <c r="A27" t="s">
        <v>3</v>
      </c>
      <c r="B27" t="s">
        <v>269</v>
      </c>
      <c r="C27" t="s">
        <v>49</v>
      </c>
      <c r="D27" t="s">
        <v>48</v>
      </c>
      <c r="E27">
        <v>1</v>
      </c>
      <c r="F27" t="s">
        <v>138</v>
      </c>
      <c r="G27" t="s">
        <v>268</v>
      </c>
    </row>
    <row r="28" spans="1:7">
      <c r="A28" t="s">
        <v>2</v>
      </c>
      <c r="B28" t="s">
        <v>270</v>
      </c>
      <c r="C28" t="s">
        <v>51</v>
      </c>
      <c r="D28" t="s">
        <v>50</v>
      </c>
      <c r="E28">
        <v>1</v>
      </c>
      <c r="F28" t="s">
        <v>138</v>
      </c>
      <c r="G28" t="s">
        <v>271</v>
      </c>
    </row>
    <row r="29" spans="1:7">
      <c r="A29" t="s">
        <v>3</v>
      </c>
      <c r="B29" t="s">
        <v>272</v>
      </c>
      <c r="C29" t="s">
        <v>51</v>
      </c>
      <c r="D29" t="s">
        <v>50</v>
      </c>
      <c r="E29">
        <v>1</v>
      </c>
      <c r="F29" t="s">
        <v>138</v>
      </c>
      <c r="G29" t="s">
        <v>271</v>
      </c>
    </row>
    <row r="30" spans="1:7">
      <c r="A30" t="s">
        <v>2</v>
      </c>
      <c r="B30" t="s">
        <v>273</v>
      </c>
      <c r="C30" t="s">
        <v>59</v>
      </c>
      <c r="D30" t="s">
        <v>58</v>
      </c>
      <c r="E30">
        <v>1</v>
      </c>
      <c r="F30" t="s">
        <v>138</v>
      </c>
      <c r="G30" t="s">
        <v>274</v>
      </c>
    </row>
    <row r="31" spans="1:7">
      <c r="A31" t="s">
        <v>3</v>
      </c>
      <c r="B31" t="s">
        <v>275</v>
      </c>
      <c r="C31" t="s">
        <v>59</v>
      </c>
      <c r="D31" t="s">
        <v>58</v>
      </c>
      <c r="E31">
        <v>1</v>
      </c>
      <c r="F31" t="s">
        <v>138</v>
      </c>
      <c r="G31" t="s">
        <v>274</v>
      </c>
    </row>
    <row r="32" spans="1:7">
      <c r="A32" t="s">
        <v>2</v>
      </c>
      <c r="B32" t="s">
        <v>276</v>
      </c>
      <c r="C32" t="s">
        <v>152</v>
      </c>
      <c r="D32" t="s">
        <v>60</v>
      </c>
      <c r="E32">
        <v>1</v>
      </c>
      <c r="F32" t="s">
        <v>138</v>
      </c>
      <c r="G32" t="s">
        <v>277</v>
      </c>
    </row>
    <row r="33" spans="1:7">
      <c r="A33" t="s">
        <v>3</v>
      </c>
      <c r="B33" t="s">
        <v>278</v>
      </c>
      <c r="C33" t="s">
        <v>152</v>
      </c>
      <c r="D33" t="s">
        <v>60</v>
      </c>
      <c r="E33">
        <v>1</v>
      </c>
      <c r="F33" t="s">
        <v>138</v>
      </c>
      <c r="G33" t="s">
        <v>277</v>
      </c>
    </row>
    <row r="34" spans="1:7">
      <c r="A34" t="s">
        <v>2</v>
      </c>
      <c r="B34" t="s">
        <v>279</v>
      </c>
      <c r="C34" t="s">
        <v>63</v>
      </c>
      <c r="D34" t="s">
        <v>62</v>
      </c>
      <c r="E34">
        <v>1</v>
      </c>
      <c r="F34" t="s">
        <v>138</v>
      </c>
      <c r="G34" t="s">
        <v>280</v>
      </c>
    </row>
    <row r="35" spans="1:7">
      <c r="A35" t="s">
        <v>3</v>
      </c>
      <c r="B35" t="s">
        <v>281</v>
      </c>
      <c r="C35" t="s">
        <v>63</v>
      </c>
      <c r="D35" t="s">
        <v>62</v>
      </c>
      <c r="E35">
        <v>1</v>
      </c>
      <c r="F35" t="s">
        <v>138</v>
      </c>
      <c r="G35" t="s">
        <v>280</v>
      </c>
    </row>
    <row r="36" spans="1:7">
      <c r="A36" t="s">
        <v>2</v>
      </c>
      <c r="B36" t="s">
        <v>282</v>
      </c>
      <c r="C36" t="s">
        <v>71</v>
      </c>
      <c r="D36" t="s">
        <v>70</v>
      </c>
      <c r="E36">
        <v>1</v>
      </c>
      <c r="F36" t="s">
        <v>138</v>
      </c>
      <c r="G36" t="s">
        <v>283</v>
      </c>
    </row>
    <row r="37" spans="1:7">
      <c r="A37" t="s">
        <v>3</v>
      </c>
      <c r="B37" t="s">
        <v>284</v>
      </c>
      <c r="C37" t="s">
        <v>71</v>
      </c>
      <c r="D37" t="s">
        <v>70</v>
      </c>
      <c r="E37">
        <v>1</v>
      </c>
      <c r="F37" t="s">
        <v>138</v>
      </c>
      <c r="G37" t="s">
        <v>283</v>
      </c>
    </row>
    <row r="38" spans="1:7">
      <c r="A38" t="s">
        <v>2</v>
      </c>
      <c r="B38" t="s">
        <v>285</v>
      </c>
      <c r="C38" t="s">
        <v>73</v>
      </c>
      <c r="D38" t="s">
        <v>72</v>
      </c>
      <c r="E38">
        <v>1</v>
      </c>
      <c r="F38" t="s">
        <v>138</v>
      </c>
      <c r="G38" t="s">
        <v>286</v>
      </c>
    </row>
    <row r="39" spans="1:7">
      <c r="A39" t="s">
        <v>3</v>
      </c>
      <c r="B39" t="s">
        <v>287</v>
      </c>
      <c r="C39" t="s">
        <v>73</v>
      </c>
      <c r="D39" t="s">
        <v>72</v>
      </c>
      <c r="E39">
        <v>1</v>
      </c>
      <c r="F39" t="s">
        <v>138</v>
      </c>
      <c r="G39" t="s">
        <v>286</v>
      </c>
    </row>
    <row r="40" spans="1:7">
      <c r="A40" t="s">
        <v>2</v>
      </c>
      <c r="B40" t="s">
        <v>288</v>
      </c>
      <c r="C40" t="s">
        <v>75</v>
      </c>
      <c r="D40" t="s">
        <v>74</v>
      </c>
      <c r="E40">
        <v>1</v>
      </c>
      <c r="F40" t="s">
        <v>138</v>
      </c>
      <c r="G40" t="s">
        <v>289</v>
      </c>
    </row>
    <row r="41" spans="1:7">
      <c r="A41" t="s">
        <v>3</v>
      </c>
      <c r="B41" t="s">
        <v>290</v>
      </c>
      <c r="C41" t="s">
        <v>75</v>
      </c>
      <c r="D41" t="s">
        <v>74</v>
      </c>
      <c r="E41">
        <v>1</v>
      </c>
      <c r="F41" t="s">
        <v>138</v>
      </c>
      <c r="G41" t="s">
        <v>289</v>
      </c>
    </row>
    <row r="42" spans="1:7">
      <c r="A42" t="s">
        <v>2</v>
      </c>
      <c r="B42" t="s">
        <v>291</v>
      </c>
      <c r="C42" t="s">
        <v>83</v>
      </c>
      <c r="D42" t="s">
        <v>82</v>
      </c>
      <c r="E42">
        <v>1</v>
      </c>
      <c r="F42" t="s">
        <v>138</v>
      </c>
      <c r="G42" t="s">
        <v>292</v>
      </c>
    </row>
    <row r="43" spans="1:7">
      <c r="A43" t="s">
        <v>3</v>
      </c>
      <c r="B43" t="s">
        <v>293</v>
      </c>
      <c r="C43" t="s">
        <v>83</v>
      </c>
      <c r="D43" t="s">
        <v>82</v>
      </c>
      <c r="E43">
        <v>1</v>
      </c>
      <c r="F43" t="s">
        <v>138</v>
      </c>
      <c r="G43" t="s">
        <v>292</v>
      </c>
    </row>
    <row r="44" spans="1:7">
      <c r="A44" t="s">
        <v>2</v>
      </c>
      <c r="B44" t="s">
        <v>294</v>
      </c>
      <c r="C44" t="s">
        <v>85</v>
      </c>
      <c r="D44" t="s">
        <v>84</v>
      </c>
      <c r="E44">
        <v>1</v>
      </c>
      <c r="F44" t="s">
        <v>138</v>
      </c>
      <c r="G44" t="s">
        <v>295</v>
      </c>
    </row>
    <row r="45" spans="1:7">
      <c r="A45" t="s">
        <v>3</v>
      </c>
      <c r="B45" t="s">
        <v>296</v>
      </c>
      <c r="C45" t="s">
        <v>85</v>
      </c>
      <c r="D45" t="s">
        <v>84</v>
      </c>
      <c r="E45">
        <v>1</v>
      </c>
      <c r="F45" t="s">
        <v>138</v>
      </c>
      <c r="G45" t="s">
        <v>295</v>
      </c>
    </row>
    <row r="46" spans="1:7">
      <c r="A46" t="s">
        <v>2</v>
      </c>
      <c r="B46" t="s">
        <v>297</v>
      </c>
      <c r="C46" t="s">
        <v>23</v>
      </c>
      <c r="D46" t="s">
        <v>86</v>
      </c>
      <c r="E46">
        <v>1</v>
      </c>
      <c r="F46" t="s">
        <v>138</v>
      </c>
      <c r="G46" t="s">
        <v>256</v>
      </c>
    </row>
    <row r="47" spans="1:7">
      <c r="A47" t="s">
        <v>2</v>
      </c>
      <c r="B47" t="s">
        <v>298</v>
      </c>
      <c r="C47" t="s">
        <v>91</v>
      </c>
      <c r="D47" t="s">
        <v>90</v>
      </c>
      <c r="E47">
        <v>1</v>
      </c>
      <c r="F47" t="s">
        <v>138</v>
      </c>
      <c r="G47" t="s">
        <v>299</v>
      </c>
    </row>
    <row r="48" spans="1:7">
      <c r="A48" t="s">
        <v>2</v>
      </c>
      <c r="B48" t="s">
        <v>300</v>
      </c>
      <c r="C48" t="s">
        <v>158</v>
      </c>
      <c r="D48" t="s">
        <v>92</v>
      </c>
      <c r="E48">
        <v>1</v>
      </c>
      <c r="F48" t="s">
        <v>138</v>
      </c>
      <c r="G48" t="s">
        <v>301</v>
      </c>
    </row>
    <row r="49" spans="1:7">
      <c r="A49" t="s">
        <v>2</v>
      </c>
      <c r="B49" t="s">
        <v>302</v>
      </c>
      <c r="C49" t="s">
        <v>159</v>
      </c>
      <c r="D49" t="s">
        <v>94</v>
      </c>
      <c r="E49">
        <v>1</v>
      </c>
      <c r="F49" t="s">
        <v>138</v>
      </c>
      <c r="G49" t="s">
        <v>303</v>
      </c>
    </row>
    <row r="50" spans="1:7">
      <c r="A50" t="s">
        <v>2</v>
      </c>
      <c r="B50" t="s">
        <v>304</v>
      </c>
      <c r="C50" t="s">
        <v>160</v>
      </c>
      <c r="D50" t="s">
        <v>96</v>
      </c>
      <c r="E50">
        <v>1</v>
      </c>
      <c r="F50" t="s">
        <v>138</v>
      </c>
      <c r="G50" t="s">
        <v>305</v>
      </c>
    </row>
    <row r="51" spans="1:7">
      <c r="A51" t="s">
        <v>2</v>
      </c>
      <c r="B51" t="s">
        <v>306</v>
      </c>
      <c r="C51" t="s">
        <v>101</v>
      </c>
      <c r="D51" t="s">
        <v>100</v>
      </c>
      <c r="E51">
        <v>1</v>
      </c>
      <c r="F51" t="s">
        <v>138</v>
      </c>
      <c r="G51" t="s">
        <v>307</v>
      </c>
    </row>
    <row r="52" spans="1:7">
      <c r="A52" t="s">
        <v>2</v>
      </c>
      <c r="B52" t="s">
        <v>308</v>
      </c>
      <c r="C52" t="s">
        <v>161</v>
      </c>
      <c r="D52" t="s">
        <v>102</v>
      </c>
      <c r="E52">
        <v>1</v>
      </c>
      <c r="F52" t="s">
        <v>138</v>
      </c>
      <c r="G52" t="s">
        <v>309</v>
      </c>
    </row>
    <row r="53" spans="1:7">
      <c r="A53" t="s">
        <v>2</v>
      </c>
      <c r="B53" t="s">
        <v>310</v>
      </c>
      <c r="C53" t="s">
        <v>107</v>
      </c>
      <c r="D53" t="s">
        <v>106</v>
      </c>
      <c r="E53">
        <v>1</v>
      </c>
      <c r="F53" t="s">
        <v>138</v>
      </c>
      <c r="G53" t="s">
        <v>311</v>
      </c>
    </row>
    <row r="54" spans="1:7">
      <c r="A54" t="s">
        <v>2</v>
      </c>
      <c r="B54" t="s">
        <v>312</v>
      </c>
      <c r="C54" t="s">
        <v>115</v>
      </c>
      <c r="D54" t="s">
        <v>114</v>
      </c>
      <c r="E54">
        <v>1</v>
      </c>
      <c r="F54" t="s">
        <v>138</v>
      </c>
      <c r="G54" t="s">
        <v>313</v>
      </c>
    </row>
    <row r="55" spans="1:7">
      <c r="A55" t="s">
        <v>2</v>
      </c>
      <c r="B55" t="s">
        <v>314</v>
      </c>
      <c r="C55" t="s">
        <v>119</v>
      </c>
      <c r="D55" t="s">
        <v>118</v>
      </c>
      <c r="E55">
        <v>1</v>
      </c>
      <c r="F55" t="s">
        <v>138</v>
      </c>
      <c r="G55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IS</vt:lpstr>
      <vt:lpstr>BS</vt:lpstr>
      <vt:lpstr>CF</vt:lpstr>
      <vt:lpstr>Source_Trace</vt:lpstr>
      <vt:lpstr>Reconciliations</vt:lpstr>
      <vt:lpstr>Open_Issues</vt:lpstr>
      <vt:lpstr>Change_Log</vt:lpstr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Spread</dc:title>
  <dc:creator/>
  <cp:lastModifiedBy/>
  <dcterms:created xsi:type="dcterms:W3CDTF">2026-10-24T12:52:10Z</dcterms:created>
  <dcterms:modified xsi:type="dcterms:W3CDTF">2026-10-24T12:52:10Z</dcterms:modified>
</cp:coreProperties>
</file>